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" sheetId="1" r:id="rId4"/>
    <sheet state="visible" name="21년 6월" sheetId="2" r:id="rId5"/>
    <sheet state="visible" name="21년 5월" sheetId="3" r:id="rId6"/>
    <sheet state="visible" name="21년4월" sheetId="4" r:id="rId7"/>
    <sheet state="visible" name="이프지 8월" sheetId="5" r:id="rId8"/>
    <sheet state="visible" name="이프지9월" sheetId="6" r:id="rId9"/>
    <sheet state="visible" name="이프지 10월" sheetId="7" r:id="rId10"/>
    <sheet state="visible" name="집계표 세팅" sheetId="8" r:id="rId11"/>
    <sheet state="visible" name="집계표 세팅의 사본" sheetId="9" r:id="rId12"/>
  </sheets>
  <definedNames/>
  <calcPr/>
  <extLst>
    <ext uri="GoogleSheetsCustomDataVersion2">
      <go:sheetsCustomData xmlns:go="http://customooxmlschemas.google.com/" r:id="rId13" roundtripDataChecksum="vRlMlBOhKc9wrnqCTyM8vLhHm2gHkp2M7SKqXAYCA34="/>
    </ext>
  </extLst>
</workbook>
</file>

<file path=xl/sharedStrings.xml><?xml version="1.0" encoding="utf-8"?>
<sst xmlns="http://schemas.openxmlformats.org/spreadsheetml/2006/main" count="1253" uniqueCount="78">
  <si>
    <t>디자이너 월간 실적집계표</t>
  </si>
  <si>
    <t>매장명: 합정 메세나폴리스</t>
  </si>
  <si>
    <t>매장 가동률:</t>
  </si>
  <si>
    <t xml:space="preserve">                /                /                 /</t>
  </si>
  <si>
    <t>(단위 : 명, 천원)</t>
  </si>
  <si>
    <t>월 목표</t>
  </si>
  <si>
    <t>매출</t>
  </si>
  <si>
    <t>A고객</t>
  </si>
  <si>
    <t>A+고객</t>
  </si>
  <si>
    <t>C고객</t>
  </si>
  <si>
    <t>C+고객</t>
  </si>
  <si>
    <t>S고객</t>
  </si>
  <si>
    <t>B고객</t>
  </si>
  <si>
    <t>B+고객</t>
  </si>
  <si>
    <t>총 고객</t>
  </si>
  <si>
    <t>객 단가</t>
  </si>
  <si>
    <t>월 실적</t>
  </si>
  <si>
    <t>차이</t>
  </si>
  <si>
    <t>▼1주차</t>
  </si>
  <si>
    <t>날짜(요일)</t>
  </si>
  <si>
    <t>주 합계</t>
  </si>
  <si>
    <t>주 목표</t>
  </si>
  <si>
    <t>점판</t>
  </si>
  <si>
    <t>21년2월</t>
  </si>
  <si>
    <t>21년1월</t>
  </si>
  <si>
    <t>20년12월</t>
  </si>
  <si>
    <t>최근 3개월 매출 평균</t>
  </si>
  <si>
    <t>최근 3개월 B고객 수</t>
  </si>
  <si>
    <t>재방문률</t>
  </si>
  <si>
    <t>B 고객 / 전달 A 고객</t>
  </si>
  <si>
    <t>매출 달성률</t>
  </si>
  <si>
    <t>성장률</t>
  </si>
  <si>
    <t>(실매출 / 저번달 매출 - 1)</t>
  </si>
  <si>
    <t>뉴MC</t>
  </si>
  <si>
    <t>▼2주차</t>
  </si>
  <si>
    <t>▼3주차</t>
  </si>
  <si>
    <t>▼4주차</t>
  </si>
  <si>
    <t>▼5주차</t>
  </si>
  <si>
    <t>2021년</t>
  </si>
  <si>
    <t>1 (토)</t>
  </si>
  <si>
    <t>21년 5월</t>
  </si>
  <si>
    <t>21년 4월</t>
  </si>
  <si>
    <t>21년 3월</t>
  </si>
  <si>
    <t>2 (일)</t>
  </si>
  <si>
    <t>3 (월)</t>
  </si>
  <si>
    <t>4(화)</t>
  </si>
  <si>
    <t>5(수)</t>
  </si>
  <si>
    <t>6(목)</t>
  </si>
  <si>
    <t>7(금)</t>
  </si>
  <si>
    <t>8(토)</t>
  </si>
  <si>
    <t>5월 목표 a 소개쿠폰전달 b 소개쿠폰전달,네이버예약 안내 s 리뷰할인 및 현장작성 유도</t>
  </si>
  <si>
    <t>9(일)</t>
  </si>
  <si>
    <t>10(월)</t>
  </si>
  <si>
    <t>11(화)</t>
  </si>
  <si>
    <t>12(수)</t>
  </si>
  <si>
    <t>13(목)</t>
  </si>
  <si>
    <t>14(금)</t>
  </si>
  <si>
    <t>15(토)</t>
  </si>
  <si>
    <t>23 (일)</t>
  </si>
  <si>
    <t>24 (월)</t>
  </si>
  <si>
    <t>25 (화)</t>
  </si>
  <si>
    <t>26 (수)</t>
  </si>
  <si>
    <t>27 (목)</t>
  </si>
  <si>
    <t>28 (금)</t>
  </si>
  <si>
    <t>29 (토)</t>
  </si>
  <si>
    <t>30 (일)</t>
  </si>
  <si>
    <t>31 (월)</t>
  </si>
  <si>
    <t>21년4월</t>
  </si>
  <si>
    <t>21년3월</t>
  </si>
  <si>
    <t>12 (월)</t>
  </si>
  <si>
    <t>152000</t>
  </si>
  <si>
    <t>-</t>
  </si>
  <si>
    <t>19 (월)</t>
  </si>
  <si>
    <t>29 (목)</t>
  </si>
  <si>
    <t>30 (금)</t>
  </si>
  <si>
    <t>2024년</t>
  </si>
  <si>
    <t>매장명: 우화 해</t>
  </si>
  <si>
    <t>매장명: 이프지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</si>
</sst>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월"/>
    <numFmt numFmtId="165" formatCode="#,##0;(#,##0)"/>
    <numFmt numFmtId="166" formatCode="m/d"/>
    <numFmt numFmtId="167" formatCode="0.0%"/>
  </numFmts>
  <fonts count="13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rgb="FF434343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4.0"/>
      <color rgb="FF0000FF"/>
      <name val="Arial"/>
    </font>
    <font>
      <sz val="14.0"/>
      <color theme="1"/>
      <name val="Arial"/>
    </font>
    <font>
      <sz val="11.0"/>
      <color rgb="FF222222"/>
      <name val="Arial"/>
    </font>
    <font>
      <color theme="1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sz val="14.0"/>
      <color rgb="FFFF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999999"/>
      </bottom>
    </border>
    <border>
      <left style="thin">
        <color rgb="FF000000"/>
      </left>
      <right style="medium">
        <color rgb="FF000000"/>
      </right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thin">
        <color rgb="FF999999"/>
      </top>
    </border>
    <border>
      <right style="thin">
        <color rgb="FF000000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999999"/>
      </top>
    </border>
    <border>
      <left style="thin">
        <color rgb="FF000000"/>
      </left>
      <right style="medium">
        <color rgb="FF000000"/>
      </right>
      <top style="thin">
        <color rgb="FF999999"/>
      </top>
    </border>
    <border>
      <right style="medium">
        <color rgb="FF000000"/>
      </right>
      <top style="thin">
        <color rgb="FF999999"/>
      </top>
    </border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right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2" fillId="0" fontId="4" numFmtId="165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3" fillId="0" fontId="3" numFmtId="3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5" fillId="0" fontId="5" numFmtId="3" xfId="0" applyAlignment="1" applyBorder="1" applyFont="1" applyNumberFormat="1">
      <alignment horizontal="center" readingOrder="0"/>
    </xf>
    <xf borderId="5" fillId="0" fontId="5" numFmtId="3" xfId="0" applyAlignment="1" applyBorder="1" applyFont="1" applyNumberFormat="1">
      <alignment horizontal="center"/>
    </xf>
    <xf borderId="6" fillId="0" fontId="3" numFmtId="3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8" fillId="0" fontId="6" numFmtId="3" xfId="0" applyAlignment="1" applyBorder="1" applyFont="1" applyNumberFormat="1">
      <alignment horizontal="center"/>
    </xf>
    <xf borderId="9" fillId="0" fontId="6" numFmtId="3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0" fillId="0" fontId="3" numFmtId="0" xfId="0" applyAlignment="1" applyBorder="1" applyFont="1">
      <alignment horizontal="center"/>
    </xf>
    <xf borderId="11" fillId="0" fontId="3" numFmtId="4" xfId="0" applyAlignment="1" applyBorder="1" applyFont="1" applyNumberFormat="1">
      <alignment horizontal="center" readingOrder="0"/>
    </xf>
    <xf borderId="12" fillId="0" fontId="3" numFmtId="0" xfId="0" applyAlignment="1" applyBorder="1" applyFont="1">
      <alignment horizontal="center" readingOrder="0"/>
    </xf>
    <xf borderId="13" fillId="0" fontId="3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4" fillId="0" fontId="3" numFmtId="3" xfId="0" applyAlignment="1" applyBorder="1" applyFont="1" applyNumberFormat="1">
      <alignment horizontal="center"/>
    </xf>
    <xf borderId="0" fillId="2" fontId="7" numFmtId="0" xfId="0" applyFill="1" applyFont="1"/>
    <xf borderId="5" fillId="2" fontId="7" numFmtId="0" xfId="0" applyBorder="1" applyFont="1"/>
    <xf borderId="5" fillId="0" fontId="8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16" fillId="0" fontId="3" numFmtId="3" xfId="0" applyAlignment="1" applyBorder="1" applyFont="1" applyNumberFormat="1">
      <alignment horizontal="center" readingOrder="0"/>
    </xf>
    <xf borderId="17" fillId="0" fontId="3" numFmtId="3" xfId="0" applyAlignment="1" applyBorder="1" applyFont="1" applyNumberFormat="1">
      <alignment horizontal="center"/>
    </xf>
    <xf borderId="17" fillId="0" fontId="3" numFmtId="3" xfId="0" applyAlignment="1" applyBorder="1" applyFont="1" applyNumberFormat="1">
      <alignment horizontal="center" readingOrder="0"/>
    </xf>
    <xf borderId="18" fillId="0" fontId="3" numFmtId="3" xfId="0" applyAlignment="1" applyBorder="1" applyFont="1" applyNumberFormat="1">
      <alignment horizontal="center" readingOrder="0"/>
    </xf>
    <xf borderId="19" fillId="0" fontId="9" numFmtId="3" xfId="0" applyAlignment="1" applyBorder="1" applyFont="1" applyNumberFormat="1">
      <alignment horizontal="center"/>
    </xf>
    <xf borderId="19" fillId="0" fontId="3" numFmtId="3" xfId="0" applyAlignment="1" applyBorder="1" applyFont="1" applyNumberFormat="1">
      <alignment horizontal="center"/>
    </xf>
    <xf borderId="20" fillId="0" fontId="3" numFmtId="166" xfId="0" applyAlignment="1" applyBorder="1" applyFont="1" applyNumberFormat="1">
      <alignment horizontal="center"/>
    </xf>
    <xf borderId="20" fillId="0" fontId="3" numFmtId="3" xfId="0" applyAlignment="1" applyBorder="1" applyFont="1" applyNumberFormat="1">
      <alignment horizontal="center"/>
    </xf>
    <xf borderId="5" fillId="0" fontId="8" numFmtId="3" xfId="0" applyBorder="1" applyFont="1" applyNumberFormat="1"/>
    <xf borderId="21" fillId="0" fontId="3" numFmtId="0" xfId="0" applyAlignment="1" applyBorder="1" applyFont="1">
      <alignment horizontal="center"/>
    </xf>
    <xf borderId="22" fillId="0" fontId="3" numFmtId="3" xfId="0" applyAlignment="1" applyBorder="1" applyFont="1" applyNumberFormat="1">
      <alignment horizontal="center" readingOrder="0"/>
    </xf>
    <xf borderId="23" fillId="0" fontId="3" numFmtId="3" xfId="0" applyAlignment="1" applyBorder="1" applyFont="1" applyNumberFormat="1">
      <alignment horizontal="center"/>
    </xf>
    <xf borderId="23" fillId="0" fontId="3" numFmtId="3" xfId="0" applyAlignment="1" applyBorder="1" applyFont="1" applyNumberFormat="1">
      <alignment horizontal="center" readingOrder="0"/>
    </xf>
    <xf borderId="24" fillId="0" fontId="3" numFmtId="3" xfId="0" applyAlignment="1" applyBorder="1" applyFont="1" applyNumberFormat="1">
      <alignment horizontal="center"/>
    </xf>
    <xf borderId="25" fillId="0" fontId="3" numFmtId="3" xfId="0" applyAlignment="1" applyBorder="1" applyFont="1" applyNumberFormat="1">
      <alignment horizontal="center"/>
    </xf>
    <xf borderId="5" fillId="0" fontId="3" numFmtId="3" xfId="0" applyAlignment="1" applyBorder="1" applyFont="1" applyNumberFormat="1">
      <alignment horizontal="center"/>
    </xf>
    <xf borderId="22" fillId="0" fontId="3" numFmtId="3" xfId="0" applyAlignment="1" applyBorder="1" applyFont="1" applyNumberFormat="1">
      <alignment horizontal="center"/>
    </xf>
    <xf borderId="5" fillId="0" fontId="3" numFmtId="166" xfId="0" applyAlignment="1" applyBorder="1" applyFont="1" applyNumberFormat="1">
      <alignment horizontal="center"/>
    </xf>
    <xf borderId="5" fillId="0" fontId="8" numFmtId="0" xfId="0" applyBorder="1" applyFont="1"/>
    <xf borderId="26" fillId="0" fontId="3" numFmtId="0" xfId="0" applyAlignment="1" applyBorder="1" applyFont="1">
      <alignment horizontal="center"/>
    </xf>
    <xf borderId="27" fillId="0" fontId="3" numFmtId="3" xfId="0" applyAlignment="1" applyBorder="1" applyFont="1" applyNumberFormat="1">
      <alignment horizontal="center"/>
    </xf>
    <xf borderId="28" fillId="0" fontId="3" numFmtId="3" xfId="0" applyAlignment="1" applyBorder="1" applyFont="1" applyNumberFormat="1">
      <alignment horizontal="center"/>
    </xf>
    <xf borderId="29" fillId="0" fontId="3" numFmtId="3" xfId="0" applyAlignment="1" applyBorder="1" applyFont="1" applyNumberFormat="1">
      <alignment horizontal="center"/>
    </xf>
    <xf borderId="30" fillId="0" fontId="3" numFmtId="3" xfId="0" applyAlignment="1" applyBorder="1" applyFont="1" applyNumberFormat="1">
      <alignment horizontal="center"/>
    </xf>
    <xf borderId="31" fillId="0" fontId="3" numFmtId="0" xfId="0" applyAlignment="1" applyBorder="1" applyFont="1">
      <alignment horizontal="center"/>
    </xf>
    <xf borderId="27" fillId="0" fontId="3" numFmtId="3" xfId="0" applyAlignment="1" applyBorder="1" applyFont="1" applyNumberFormat="1">
      <alignment horizontal="center" readingOrder="0"/>
    </xf>
    <xf borderId="28" fillId="0" fontId="3" numFmtId="3" xfId="0" applyAlignment="1" applyBorder="1" applyFont="1" applyNumberFormat="1">
      <alignment horizontal="center" readingOrder="0"/>
    </xf>
    <xf borderId="29" fillId="0" fontId="3" numFmtId="3" xfId="0" applyAlignment="1" applyBorder="1" applyFont="1" applyNumberFormat="1">
      <alignment horizontal="center" readingOrder="0"/>
    </xf>
    <xf borderId="5" fillId="0" fontId="8" numFmtId="167" xfId="0" applyBorder="1" applyFont="1" applyNumberFormat="1"/>
    <xf borderId="32" fillId="3" fontId="3" numFmtId="0" xfId="0" applyAlignment="1" applyBorder="1" applyFill="1" applyFont="1">
      <alignment horizontal="center"/>
    </xf>
    <xf borderId="33" fillId="3" fontId="3" numFmtId="3" xfId="0" applyAlignment="1" applyBorder="1" applyFont="1" applyNumberFormat="1">
      <alignment horizontal="center" readingOrder="0"/>
    </xf>
    <xf borderId="5" fillId="3" fontId="3" numFmtId="3" xfId="0" applyAlignment="1" applyBorder="1" applyFont="1" applyNumberFormat="1">
      <alignment horizontal="center"/>
    </xf>
    <xf borderId="5" fillId="3" fontId="3" numFmtId="3" xfId="0" applyAlignment="1" applyBorder="1" applyFont="1" applyNumberFormat="1">
      <alignment horizontal="center" readingOrder="0"/>
    </xf>
    <xf borderId="6" fillId="3" fontId="3" numFmtId="3" xfId="0" applyAlignment="1" applyBorder="1" applyFont="1" applyNumberFormat="1">
      <alignment horizontal="center" readingOrder="0"/>
    </xf>
    <xf borderId="34" fillId="3" fontId="9" numFmtId="3" xfId="0" applyAlignment="1" applyBorder="1" applyFont="1" applyNumberFormat="1">
      <alignment horizontal="center"/>
    </xf>
    <xf borderId="34" fillId="3" fontId="3" numFmtId="3" xfId="0" applyAlignment="1" applyBorder="1" applyFont="1" applyNumberFormat="1">
      <alignment horizontal="center"/>
    </xf>
    <xf borderId="35" fillId="3" fontId="3" numFmtId="0" xfId="0" applyAlignment="1" applyBorder="1" applyFont="1">
      <alignment horizontal="center"/>
    </xf>
    <xf borderId="36" fillId="3" fontId="3" numFmtId="3" xfId="0" applyAlignment="1" applyBorder="1" applyFont="1" applyNumberFormat="1">
      <alignment horizontal="center"/>
    </xf>
    <xf borderId="37" fillId="3" fontId="3" numFmtId="3" xfId="0" applyAlignment="1" applyBorder="1" applyFont="1" applyNumberFormat="1">
      <alignment horizontal="center"/>
    </xf>
    <xf borderId="38" fillId="3" fontId="3" numFmtId="3" xfId="0" applyAlignment="1" applyBorder="1" applyFont="1" applyNumberFormat="1">
      <alignment horizontal="center"/>
    </xf>
    <xf borderId="39" fillId="3" fontId="10" numFmtId="3" xfId="0" applyAlignment="1" applyBorder="1" applyFont="1" applyNumberFormat="1">
      <alignment horizontal="center"/>
    </xf>
    <xf borderId="39" fillId="3" fontId="3" numFmtId="3" xfId="0" applyAlignment="1" applyBorder="1" applyFont="1" applyNumberFormat="1">
      <alignment horizontal="center"/>
    </xf>
    <xf borderId="40" fillId="3" fontId="3" numFmtId="0" xfId="0" applyAlignment="1" applyBorder="1" applyFont="1">
      <alignment horizontal="center"/>
    </xf>
    <xf borderId="41" fillId="3" fontId="3" numFmtId="3" xfId="0" applyAlignment="1" applyBorder="1" applyFont="1" applyNumberFormat="1">
      <alignment horizontal="center"/>
    </xf>
    <xf borderId="8" fillId="3" fontId="3" numFmtId="3" xfId="0" applyAlignment="1" applyBorder="1" applyFont="1" applyNumberFormat="1">
      <alignment horizontal="center"/>
    </xf>
    <xf borderId="9" fillId="3" fontId="3" numFmtId="3" xfId="0" applyAlignment="1" applyBorder="1" applyFont="1" applyNumberFormat="1">
      <alignment horizontal="center"/>
    </xf>
    <xf borderId="42" fillId="3" fontId="3" numFmtId="3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11" fillId="0" fontId="3" numFmtId="0" xfId="0" applyAlignment="1" applyBorder="1" applyFont="1">
      <alignment horizontal="center" readingOrder="0"/>
    </xf>
    <xf borderId="24" fillId="0" fontId="3" numFmtId="3" xfId="0" applyAlignment="1" applyBorder="1" applyFont="1" applyNumberFormat="1">
      <alignment horizontal="center" readingOrder="0"/>
    </xf>
    <xf borderId="0" fillId="0" fontId="8" numFmtId="167" xfId="0" applyFont="1" applyNumberFormat="1"/>
    <xf borderId="6" fillId="3" fontId="3" numFmtId="3" xfId="0" applyAlignment="1" applyBorder="1" applyFont="1" applyNumberFormat="1">
      <alignment horizontal="center"/>
    </xf>
    <xf borderId="12" fillId="0" fontId="3" numFmtId="0" xfId="0" applyAlignment="1" applyBorder="1" applyFont="1">
      <alignment horizontal="center"/>
    </xf>
    <xf borderId="18" fillId="0" fontId="3" numFmtId="3" xfId="0" applyAlignment="1" applyBorder="1" applyFont="1" applyNumberFormat="1">
      <alignment horizontal="center"/>
    </xf>
    <xf borderId="33" fillId="3" fontId="3" numFmtId="3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5" fillId="0" fontId="11" numFmtId="3" xfId="0" applyAlignment="1" applyBorder="1" applyFont="1" applyNumberFormat="1">
      <alignment horizontal="center" readingOrder="0"/>
    </xf>
    <xf borderId="16" fillId="0" fontId="3" numFmtId="3" xfId="0" applyAlignment="1" applyBorder="1" applyFont="1" applyNumberFormat="1">
      <alignment horizontal="center"/>
    </xf>
    <xf borderId="20" fillId="0" fontId="3" numFmtId="0" xfId="0" applyAlignment="1" applyBorder="1" applyFont="1">
      <alignment horizontal="center" readingOrder="0"/>
    </xf>
    <xf borderId="20" fillId="0" fontId="3" numFmtId="3" xfId="0" applyAlignment="1" applyBorder="1" applyFont="1" applyNumberFormat="1">
      <alignment horizontal="center" readingOrder="0"/>
    </xf>
    <xf borderId="5" fillId="2" fontId="7" numFmtId="0" xfId="0" applyAlignment="1" applyBorder="1" applyFont="1">
      <alignment readingOrder="0"/>
    </xf>
    <xf borderId="5" fillId="0" fontId="8" numFmtId="3" xfId="0" applyAlignment="1" applyBorder="1" applyFont="1" applyNumberFormat="1">
      <alignment readingOrder="0"/>
    </xf>
    <xf borderId="5" fillId="0" fontId="3" numFmtId="0" xfId="0" applyAlignment="1" applyBorder="1" applyFont="1">
      <alignment horizontal="center" readingOrder="0"/>
    </xf>
    <xf borderId="5" fillId="0" fontId="3" numFmtId="3" xfId="0" applyAlignment="1" applyBorder="1" applyFont="1" applyNumberFormat="1">
      <alignment horizontal="center" readingOrder="0"/>
    </xf>
    <xf borderId="5" fillId="0" fontId="8" numFmtId="0" xfId="0" applyAlignment="1" applyBorder="1" applyFont="1">
      <alignment readingOrder="0"/>
    </xf>
    <xf borderId="19" fillId="0" fontId="3" numFmtId="3" xfId="0" applyAlignment="1" applyBorder="1" applyFont="1" applyNumberFormat="1">
      <alignment horizontal="center" readingOrder="0"/>
    </xf>
    <xf borderId="25" fillId="0" fontId="3" numFmtId="3" xfId="0" applyAlignment="1" applyBorder="1" applyFont="1" applyNumberFormat="1">
      <alignment horizontal="center" readingOrder="0"/>
    </xf>
    <xf borderId="30" fillId="0" fontId="3" numFmtId="3" xfId="0" applyAlignment="1" applyBorder="1" applyFont="1" applyNumberFormat="1">
      <alignment horizontal="center" readingOrder="0"/>
    </xf>
    <xf borderId="20" fillId="0" fontId="3" numFmtId="166" xfId="0" applyAlignment="1" applyBorder="1" applyFont="1" applyNumberFormat="1">
      <alignment horizontal="center" readingOrder="0"/>
    </xf>
    <xf borderId="5" fillId="0" fontId="3" numFmtId="166" xfId="0" applyAlignment="1" applyBorder="1" applyFont="1" applyNumberFormat="1">
      <alignment horizontal="center" readingOrder="0"/>
    </xf>
    <xf borderId="5" fillId="0" fontId="8" numFmtId="0" xfId="0" applyAlignment="1" applyBorder="1" applyFont="1">
      <alignment horizontal="center" readingOrder="0"/>
    </xf>
    <xf borderId="5" fillId="0" fontId="8" numFmtId="167" xfId="0" applyAlignment="1" applyBorder="1" applyFont="1" applyNumberFormat="1">
      <alignment readingOrder="0"/>
    </xf>
    <xf borderId="0" fillId="0" fontId="12" numFmtId="0" xfId="0" applyAlignment="1" applyFont="1">
      <alignment horizontal="center" readingOrder="0"/>
    </xf>
    <xf borderId="36" fillId="3" fontId="3" numFmtId="3" xfId="0" applyAlignment="1" applyBorder="1" applyFont="1" applyNumberFormat="1">
      <alignment horizontal="center" readingOrder="0"/>
    </xf>
    <xf borderId="0" fillId="0" fontId="12" numFmtId="0" xfId="0" applyAlignment="1" applyFont="1">
      <alignment horizontal="center" vertical="bottom"/>
    </xf>
    <xf borderId="8" fillId="0" fontId="6" numFmtId="3" xfId="0" applyAlignment="1" applyBorder="1" applyFont="1" applyNumberFormat="1">
      <alignment horizontal="center" readingOrder="0"/>
    </xf>
    <xf borderId="11" fillId="0" fontId="3" numFmtId="4" xfId="0" applyAlignment="1" applyBorder="1" applyFont="1" applyNumberFormat="1">
      <alignment horizontal="center"/>
    </xf>
    <xf borderId="34" fillId="3" fontId="3" numFmtId="3" xfId="0" applyAlignment="1" applyBorder="1" applyFont="1" applyNumberFormat="1">
      <alignment horizontal="center" readingOrder="0"/>
    </xf>
    <xf borderId="8" fillId="3" fontId="3" numFmtId="3" xfId="0" applyAlignment="1" applyBorder="1" applyFont="1" applyNumberFormat="1">
      <alignment horizontal="center" readingOrder="0"/>
    </xf>
    <xf borderId="11" fillId="0" fontId="3" numFmtId="0" xfId="0" applyAlignment="1" applyBorder="1" applyFont="1">
      <alignment horizontal="center"/>
    </xf>
    <xf quotePrefix="1" borderId="18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" fillId="0" fontId="4" numFmtId="165" xfId="0" applyAlignment="1" applyBorder="1" applyFont="1" applyNumberFormat="1">
      <alignment horizontal="center"/>
    </xf>
  </cellXfs>
  <cellStyles count="1">
    <cellStyle xfId="0" name="Normal" builtinId="0"/>
  </cellStyles>
  <dxfs count="2">
    <dxf>
      <font>
        <b/>
        <color rgb="FF0000FF"/>
      </font>
      <fill>
        <patternFill patternType="none"/>
      </fill>
      <border/>
    </dxf>
    <dxf>
      <font>
        <b/>
        <color rgb="FFCC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2">
        <v>2022.0</v>
      </c>
      <c r="C4" s="3">
        <v>8.0</v>
      </c>
      <c r="D4" s="4"/>
      <c r="E4" s="4" t="s">
        <v>1</v>
      </c>
      <c r="H4" s="4"/>
      <c r="I4" s="4" t="s">
        <v>2</v>
      </c>
      <c r="J4" s="4" t="s">
        <v>3</v>
      </c>
      <c r="M4" s="5"/>
      <c r="N4" s="5"/>
      <c r="O4" s="5"/>
      <c r="P4" s="5"/>
      <c r="Q4" s="5"/>
      <c r="R4" s="5"/>
      <c r="S4" s="5"/>
      <c r="T4" s="5"/>
      <c r="U4" s="5" t="s">
        <v>4</v>
      </c>
    </row>
    <row r="5" ht="15.75" customHeight="1">
      <c r="B5" s="6" t="s">
        <v>5</v>
      </c>
      <c r="C5" s="7" t="s">
        <v>6</v>
      </c>
      <c r="D5" s="8">
        <v>1000000.0</v>
      </c>
      <c r="E5" s="7" t="s">
        <v>7</v>
      </c>
      <c r="F5" s="9">
        <v>2.0</v>
      </c>
      <c r="G5" s="7" t="s">
        <v>8</v>
      </c>
      <c r="H5" s="9">
        <v>5.0</v>
      </c>
      <c r="I5" s="7" t="s">
        <v>9</v>
      </c>
      <c r="J5" s="10"/>
      <c r="K5" s="7" t="s">
        <v>10</v>
      </c>
      <c r="L5" s="10">
        <v>0.0</v>
      </c>
      <c r="M5" s="7" t="s">
        <v>11</v>
      </c>
      <c r="N5" s="9">
        <v>20.0</v>
      </c>
      <c r="O5" s="7" t="s">
        <v>12</v>
      </c>
      <c r="P5" s="9">
        <v>80.0</v>
      </c>
      <c r="Q5" s="7" t="s">
        <v>13</v>
      </c>
      <c r="R5" s="9">
        <v>5.0</v>
      </c>
      <c r="S5" s="7" t="s">
        <v>14</v>
      </c>
      <c r="T5" s="10">
        <f t="shared" ref="T5:T6" si="1">SUM(E5:R5)</f>
        <v>112</v>
      </c>
      <c r="U5" s="7" t="s">
        <v>15</v>
      </c>
      <c r="V5" s="11">
        <f>iferror(D5/T5,"-")</f>
        <v>8928.571429</v>
      </c>
    </row>
    <row r="6" ht="15.75" customHeight="1">
      <c r="B6" s="12" t="s">
        <v>16</v>
      </c>
      <c r="C6" s="13" t="s">
        <v>6</v>
      </c>
      <c r="D6" s="14">
        <v>635800.0</v>
      </c>
      <c r="E6" s="13" t="s">
        <v>7</v>
      </c>
      <c r="F6" s="15">
        <f>IFERROR(__xludf.DUMMYFUNCTION("SUM(FILTER($J10:$J1025,$B10:$B1025=E6))"),17.0)</f>
        <v>17</v>
      </c>
      <c r="G6" s="13" t="s">
        <v>8</v>
      </c>
      <c r="H6" s="15">
        <f>IFERROR(__xludf.DUMMYFUNCTION("SUM(FILTER($J10:$J1025,$B10:$B1025=G6))"),0.0)</f>
        <v>0</v>
      </c>
      <c r="I6" s="13" t="s">
        <v>9</v>
      </c>
      <c r="J6" s="15">
        <f>IFERROR(__xludf.DUMMYFUNCTION("SUM(FILTER($J10:$J1025,$B10:$B1025=I6))"),0.0)</f>
        <v>0</v>
      </c>
      <c r="K6" s="13" t="s">
        <v>10</v>
      </c>
      <c r="L6" s="15">
        <f>IFERROR(__xludf.DUMMYFUNCTION("SUM(FILTER($J10:$J1025,$B10:$B1025=K6))"),0.0)</f>
        <v>0</v>
      </c>
      <c r="M6" s="13" t="s">
        <v>11</v>
      </c>
      <c r="N6" s="15">
        <f>IFERROR(__xludf.DUMMYFUNCTION("SUM(FILTER($J10:$J1025,$B10:$B1025=M6))"),5.0)</f>
        <v>5</v>
      </c>
      <c r="O6" s="13" t="s">
        <v>12</v>
      </c>
      <c r="P6" s="15">
        <f>IFERROR(__xludf.DUMMYFUNCTION("SUM(FILTER($J10:$J1025,$B10:$B1025=O6))"),74.0)</f>
        <v>74</v>
      </c>
      <c r="Q6" s="13" t="s">
        <v>13</v>
      </c>
      <c r="R6" s="15">
        <f>IFERROR(__xludf.DUMMYFUNCTION("SUM(FILTER($J10:$J1025,$B10:$B1025=Q6))"),5.0)</f>
        <v>5</v>
      </c>
      <c r="S6" s="13" t="s">
        <v>14</v>
      </c>
      <c r="T6" s="15">
        <f t="shared" si="1"/>
        <v>101</v>
      </c>
      <c r="U6" s="13" t="s">
        <v>15</v>
      </c>
      <c r="V6" s="16">
        <f>iferror(D6/T6,0)</f>
        <v>6295.049505</v>
      </c>
    </row>
    <row r="7" ht="15.75" customHeight="1">
      <c r="B7" s="17" t="s">
        <v>17</v>
      </c>
      <c r="C7" s="18" t="s">
        <v>6</v>
      </c>
      <c r="D7" s="19">
        <f>D6-D5</f>
        <v>-364200</v>
      </c>
      <c r="E7" s="18" t="s">
        <v>7</v>
      </c>
      <c r="F7" s="19">
        <f>F6-F5</f>
        <v>15</v>
      </c>
      <c r="G7" s="18" t="s">
        <v>8</v>
      </c>
      <c r="H7" s="19">
        <f>H6-H5</f>
        <v>-5</v>
      </c>
      <c r="I7" s="18" t="s">
        <v>9</v>
      </c>
      <c r="J7" s="19">
        <f>J6-J5</f>
        <v>0</v>
      </c>
      <c r="K7" s="18" t="s">
        <v>10</v>
      </c>
      <c r="L7" s="19">
        <f>L6-L5</f>
        <v>0</v>
      </c>
      <c r="M7" s="18" t="s">
        <v>11</v>
      </c>
      <c r="N7" s="19">
        <f>N6-N5</f>
        <v>-15</v>
      </c>
      <c r="O7" s="18" t="s">
        <v>12</v>
      </c>
      <c r="P7" s="19">
        <f>P6-P5</f>
        <v>-6</v>
      </c>
      <c r="Q7" s="18" t="s">
        <v>13</v>
      </c>
      <c r="R7" s="19">
        <f>R6-R5</f>
        <v>0</v>
      </c>
      <c r="S7" s="18" t="s">
        <v>14</v>
      </c>
      <c r="T7" s="19">
        <f>T6-T5</f>
        <v>-11</v>
      </c>
      <c r="U7" s="18" t="s">
        <v>15</v>
      </c>
      <c r="V7" s="20">
        <f>V6-V5</f>
        <v>-2633.521924</v>
      </c>
    </row>
    <row r="8" ht="17.25" customHeight="1"/>
    <row r="9" ht="15.75" customHeight="1">
      <c r="B9" s="21" t="s">
        <v>18</v>
      </c>
    </row>
    <row r="10" ht="15.75" customHeight="1">
      <c r="B10" s="22" t="s">
        <v>19</v>
      </c>
      <c r="C10" s="23">
        <v>1.0</v>
      </c>
      <c r="D10" s="24">
        <v>2.0</v>
      </c>
      <c r="E10" s="24">
        <v>3.0</v>
      </c>
      <c r="F10" s="24">
        <v>4.0</v>
      </c>
      <c r="G10" s="24">
        <v>5.0</v>
      </c>
      <c r="H10" s="24">
        <v>6.0</v>
      </c>
      <c r="I10" s="24">
        <v>7.0</v>
      </c>
      <c r="J10" s="25" t="s">
        <v>20</v>
      </c>
      <c r="K10" s="25" t="s">
        <v>21</v>
      </c>
      <c r="L10" s="25" t="s">
        <v>17</v>
      </c>
      <c r="N10" s="26" t="s">
        <v>22</v>
      </c>
      <c r="O10" s="27">
        <f>SUM(O11:O31)</f>
        <v>0</v>
      </c>
      <c r="Q10" s="28"/>
      <c r="R10" s="29"/>
      <c r="S10" s="30" t="s">
        <v>6</v>
      </c>
      <c r="T10" s="30" t="s">
        <v>12</v>
      </c>
      <c r="U10" s="30" t="s">
        <v>7</v>
      </c>
    </row>
    <row r="11" ht="15.75" customHeight="1">
      <c r="B11" s="31" t="s">
        <v>6</v>
      </c>
      <c r="C11" s="32">
        <v>327000.0</v>
      </c>
      <c r="D11" s="33"/>
      <c r="E11" s="34">
        <v>239750.0</v>
      </c>
      <c r="F11" s="34">
        <v>111500.0</v>
      </c>
      <c r="G11" s="34">
        <v>466000.0</v>
      </c>
      <c r="H11" s="34">
        <v>215700.0</v>
      </c>
      <c r="I11" s="35">
        <v>423500.0</v>
      </c>
      <c r="J11" s="36">
        <f>sum(C11:I11)</f>
        <v>1783450</v>
      </c>
      <c r="K11" s="37">
        <f>($D$5/DAY(DATE(YEAR(TODAY()),MONTH(TODAY())+1,0)))*(7-COUNTBLANK(C10:I10))</f>
        <v>233333.3333</v>
      </c>
      <c r="L11" s="37">
        <f>iferror(J11-K11,0)</f>
        <v>1550116.667</v>
      </c>
      <c r="N11" s="38"/>
      <c r="O11" s="39"/>
      <c r="Q11" s="28"/>
      <c r="R11" s="29" t="s">
        <v>23</v>
      </c>
      <c r="S11" s="40"/>
      <c r="T11" s="40"/>
      <c r="U11" s="40"/>
    </row>
    <row r="12" ht="15.75" customHeight="1">
      <c r="B12" s="41" t="s">
        <v>7</v>
      </c>
      <c r="C12" s="42">
        <v>1.0</v>
      </c>
      <c r="D12" s="43"/>
      <c r="E12" s="44">
        <v>3.0</v>
      </c>
      <c r="F12" s="44">
        <v>1.0</v>
      </c>
      <c r="G12" s="44">
        <v>1.0</v>
      </c>
      <c r="H12" s="43"/>
      <c r="I12" s="45"/>
      <c r="J12" s="46">
        <f t="shared" ref="J12:J18" si="2">if(sum(C12:I12) =0,"-",sum(C12:I12))</f>
        <v>6</v>
      </c>
      <c r="K12" s="46">
        <f>($F$5/DAY(DATE(YEAR(TODAY()),MONTH(TODAY())+1,0)))*(7-COUNTBLANK(C10:I10))</f>
        <v>0.4666666667</v>
      </c>
      <c r="L12" s="46">
        <f t="shared" ref="L12:L19" si="3">iferror(J12-K12,"-")</f>
        <v>5.533333333</v>
      </c>
      <c r="N12" s="13"/>
      <c r="O12" s="47"/>
      <c r="R12" s="29" t="s">
        <v>24</v>
      </c>
      <c r="S12" s="40"/>
      <c r="T12" s="40"/>
      <c r="U12" s="40"/>
    </row>
    <row r="13" ht="15.75" customHeight="1">
      <c r="B13" s="41" t="s">
        <v>8</v>
      </c>
      <c r="C13" s="48"/>
      <c r="D13" s="43"/>
      <c r="E13" s="43"/>
      <c r="F13" s="43"/>
      <c r="G13" s="43"/>
      <c r="H13" s="43"/>
      <c r="I13" s="45"/>
      <c r="J13" s="46" t="str">
        <f t="shared" si="2"/>
        <v>-</v>
      </c>
      <c r="K13" s="46">
        <f>($H$5/DAY(DATE(YEAR(TODAY()),MONTH(TODAY())+1,0)))*(7-COUNTBLANK(C10:I10))</f>
        <v>1.166666667</v>
      </c>
      <c r="L13" s="46" t="str">
        <f t="shared" si="3"/>
        <v>-</v>
      </c>
      <c r="N13" s="49"/>
      <c r="O13" s="47"/>
      <c r="R13" s="50" t="s">
        <v>25</v>
      </c>
      <c r="S13" s="40"/>
      <c r="T13" s="40"/>
      <c r="U13" s="40"/>
    </row>
    <row r="14" ht="15.75" customHeight="1">
      <c r="B14" s="51" t="s">
        <v>9</v>
      </c>
      <c r="C14" s="52"/>
      <c r="D14" s="53"/>
      <c r="E14" s="53"/>
      <c r="F14" s="53"/>
      <c r="G14" s="53"/>
      <c r="H14" s="53"/>
      <c r="I14" s="54"/>
      <c r="J14" s="46" t="str">
        <f t="shared" si="2"/>
        <v>-</v>
      </c>
      <c r="K14" s="55">
        <f>($J$5/DAY(DATE(YEAR(TODAY()),MONTH(TODAY())+1,0)))*(7-COUNTBLANK(C10:I10))</f>
        <v>0</v>
      </c>
      <c r="L14" s="46" t="str">
        <f t="shared" si="3"/>
        <v>-</v>
      </c>
      <c r="N14" s="13"/>
      <c r="O14" s="47"/>
      <c r="R14" s="50"/>
      <c r="S14" s="50"/>
      <c r="T14" s="50"/>
      <c r="U14" s="50"/>
    </row>
    <row r="15" ht="15.75" customHeight="1">
      <c r="B15" s="51" t="s">
        <v>10</v>
      </c>
      <c r="C15" s="52"/>
      <c r="D15" s="53"/>
      <c r="E15" s="53"/>
      <c r="F15" s="53"/>
      <c r="G15" s="53"/>
      <c r="H15" s="53"/>
      <c r="I15" s="54"/>
      <c r="J15" s="46" t="str">
        <f t="shared" si="2"/>
        <v>-</v>
      </c>
      <c r="K15" s="55">
        <f>($L$5/DAY(DATE(YEAR(TODAY()),MONTH(TODAY())+1,0)))*(7-COUNTBLANK(C10:I10))</f>
        <v>0</v>
      </c>
      <c r="L15" s="46" t="str">
        <f t="shared" si="3"/>
        <v>-</v>
      </c>
      <c r="N15" s="49"/>
      <c r="O15" s="47"/>
      <c r="R15" s="50" t="s">
        <v>26</v>
      </c>
      <c r="S15" s="40" t="str">
        <f>AVERAGE(S11:S13)</f>
        <v>#DIV/0!</v>
      </c>
      <c r="T15" s="50"/>
      <c r="U15" s="50"/>
    </row>
    <row r="16" ht="15.75" customHeight="1">
      <c r="B16" s="41" t="s">
        <v>11</v>
      </c>
      <c r="C16" s="52"/>
      <c r="D16" s="53"/>
      <c r="E16" s="53"/>
      <c r="F16" s="53"/>
      <c r="G16" s="53"/>
      <c r="H16" s="53"/>
      <c r="I16" s="54"/>
      <c r="J16" s="46" t="str">
        <f t="shared" si="2"/>
        <v>-</v>
      </c>
      <c r="K16" s="55">
        <f>($N$5/DAY(DATE(YEAR(TODAY()),MONTH(TODAY())+1,0)))*(7-COUNTBLANK(C10:I10))</f>
        <v>4.666666667</v>
      </c>
      <c r="L16" s="46" t="str">
        <f t="shared" si="3"/>
        <v>-</v>
      </c>
      <c r="N16" s="49"/>
      <c r="O16" s="47"/>
      <c r="R16" s="50" t="s">
        <v>27</v>
      </c>
      <c r="S16" s="40" t="str">
        <f>AVERAGE(T11:T13)</f>
        <v>#DIV/0!</v>
      </c>
      <c r="T16" s="50"/>
      <c r="U16" s="50"/>
    </row>
    <row r="17" ht="15.75" customHeight="1">
      <c r="B17" s="56" t="s">
        <v>12</v>
      </c>
      <c r="C17" s="57">
        <v>2.0</v>
      </c>
      <c r="D17" s="53"/>
      <c r="E17" s="58">
        <v>2.0</v>
      </c>
      <c r="F17" s="58">
        <v>3.0</v>
      </c>
      <c r="G17" s="58">
        <v>4.0</v>
      </c>
      <c r="H17" s="58">
        <v>3.0</v>
      </c>
      <c r="I17" s="59">
        <v>6.0</v>
      </c>
      <c r="J17" s="46">
        <f t="shared" si="2"/>
        <v>20</v>
      </c>
      <c r="K17" s="55">
        <f>($P$5/DAY(DATE(YEAR(TODAY()),MONTH(TODAY())+1,0)))*(7-COUNTBLANK(C10:I10))</f>
        <v>18.66666667</v>
      </c>
      <c r="L17" s="46">
        <f t="shared" si="3"/>
        <v>1.333333333</v>
      </c>
      <c r="N17" s="49"/>
      <c r="O17" s="47"/>
      <c r="R17" s="50"/>
      <c r="S17" s="50"/>
      <c r="T17" s="50"/>
      <c r="U17" s="50"/>
    </row>
    <row r="18" ht="15.75" customHeight="1">
      <c r="B18" s="56" t="s">
        <v>13</v>
      </c>
      <c r="C18" s="52"/>
      <c r="D18" s="53"/>
      <c r="E18" s="53"/>
      <c r="F18" s="53"/>
      <c r="G18" s="53"/>
      <c r="H18" s="58">
        <v>1.0</v>
      </c>
      <c r="I18" s="59">
        <v>1.0</v>
      </c>
      <c r="J18" s="46">
        <f t="shared" si="2"/>
        <v>2</v>
      </c>
      <c r="K18" s="55">
        <f>($R$5/DAY(DATE(YEAR(TODAY()),MONTH(TODAY())+1,0)))*(7-COUNTBLANK(C10:I10))</f>
        <v>1.166666667</v>
      </c>
      <c r="L18" s="46">
        <f t="shared" si="3"/>
        <v>0.8333333333</v>
      </c>
      <c r="N18" s="49"/>
      <c r="O18" s="47"/>
      <c r="R18" s="50" t="s">
        <v>28</v>
      </c>
      <c r="S18" s="60" t="str">
        <f>(P6+R6)/U11</f>
        <v>#DIV/0!</v>
      </c>
      <c r="T18" s="50"/>
      <c r="U18" s="50" t="s">
        <v>29</v>
      </c>
    </row>
    <row r="19" ht="15.75" customHeight="1">
      <c r="B19" s="61" t="s">
        <v>14</v>
      </c>
      <c r="C19" s="62">
        <v>3.0</v>
      </c>
      <c r="D19" s="63"/>
      <c r="E19" s="64">
        <v>5.0</v>
      </c>
      <c r="F19" s="64">
        <v>4.0</v>
      </c>
      <c r="G19" s="64">
        <v>5.0</v>
      </c>
      <c r="H19" s="64">
        <v>4.0</v>
      </c>
      <c r="I19" s="65">
        <v>7.0</v>
      </c>
      <c r="J19" s="66">
        <f>sum(C19:I19)</f>
        <v>28</v>
      </c>
      <c r="K19" s="67">
        <f>sum(K12:K18)</f>
        <v>26.13333333</v>
      </c>
      <c r="L19" s="67">
        <f t="shared" si="3"/>
        <v>1.866666667</v>
      </c>
      <c r="N19" s="49"/>
      <c r="O19" s="47"/>
      <c r="R19" s="50" t="s">
        <v>30</v>
      </c>
      <c r="S19" s="60">
        <f>D6/D5</f>
        <v>0.6358</v>
      </c>
      <c r="T19" s="50"/>
      <c r="U19" s="50"/>
    </row>
    <row r="20" ht="15.75" customHeight="1">
      <c r="B20" s="68" t="s">
        <v>15</v>
      </c>
      <c r="C20" s="69"/>
      <c r="D20" s="70"/>
      <c r="E20" s="70"/>
      <c r="F20" s="70"/>
      <c r="G20" s="70"/>
      <c r="H20" s="70"/>
      <c r="I20" s="71"/>
      <c r="J20" s="72">
        <f t="shared" ref="J20:K20" si="4">iferror(J11/J19,0)</f>
        <v>63694.64286</v>
      </c>
      <c r="K20" s="73">
        <f t="shared" si="4"/>
        <v>8928.571429</v>
      </c>
      <c r="L20" s="73">
        <f t="shared" ref="L20:L21" si="5">iferror(J20-K20,0)</f>
        <v>54766.07143</v>
      </c>
      <c r="N20" s="13"/>
      <c r="O20" s="47"/>
      <c r="R20" s="50" t="s">
        <v>31</v>
      </c>
      <c r="S20" s="60" t="str">
        <f>((D6/S11)-1)</f>
        <v>#DIV/0!</v>
      </c>
      <c r="T20" s="50"/>
      <c r="U20" s="50" t="s">
        <v>32</v>
      </c>
    </row>
    <row r="21" ht="15.75" customHeight="1">
      <c r="B21" s="74" t="s">
        <v>33</v>
      </c>
      <c r="C21" s="75"/>
      <c r="D21" s="76"/>
      <c r="E21" s="76"/>
      <c r="F21" s="76"/>
      <c r="G21" s="76"/>
      <c r="H21" s="76"/>
      <c r="I21" s="77"/>
      <c r="J21" s="78"/>
      <c r="K21" s="78"/>
      <c r="L21" s="78">
        <f t="shared" si="5"/>
        <v>0</v>
      </c>
      <c r="M21" s="79"/>
      <c r="N21" s="49"/>
      <c r="O21" s="47"/>
      <c r="P21" s="79"/>
      <c r="Q21" s="79"/>
      <c r="R21" s="79"/>
      <c r="S21" s="79"/>
      <c r="T21" s="79"/>
      <c r="U21" s="79"/>
      <c r="V21" s="79"/>
    </row>
    <row r="22" ht="18.0" customHeight="1">
      <c r="B22" s="79"/>
      <c r="J22" s="79"/>
      <c r="K22" s="79"/>
      <c r="L22" s="79"/>
      <c r="M22" s="79"/>
      <c r="N22" s="49"/>
      <c r="O22" s="47"/>
      <c r="P22" s="79"/>
      <c r="Q22" s="79"/>
      <c r="R22" s="79"/>
      <c r="T22" s="79"/>
      <c r="U22" s="79"/>
      <c r="V22" s="79"/>
    </row>
    <row r="23" ht="15.75" customHeight="1">
      <c r="B23" s="21" t="s">
        <v>34</v>
      </c>
      <c r="J23" s="79"/>
      <c r="K23" s="79"/>
      <c r="L23" s="79"/>
      <c r="N23" s="49"/>
      <c r="O23" s="47"/>
    </row>
    <row r="24" ht="15.75" customHeight="1">
      <c r="B24" s="21"/>
      <c r="J24" s="79"/>
      <c r="K24" s="79"/>
      <c r="L24" s="79"/>
      <c r="N24" s="49"/>
      <c r="O24" s="47"/>
    </row>
    <row r="25" ht="15.75" customHeight="1">
      <c r="B25" s="22" t="s">
        <v>19</v>
      </c>
      <c r="C25" s="80">
        <v>8.0</v>
      </c>
      <c r="D25" s="24">
        <v>9.0</v>
      </c>
      <c r="E25" s="24">
        <v>10.0</v>
      </c>
      <c r="F25" s="24">
        <v>11.0</v>
      </c>
      <c r="G25" s="24">
        <v>12.0</v>
      </c>
      <c r="H25" s="24">
        <v>13.0</v>
      </c>
      <c r="I25" s="24">
        <v>14.0</v>
      </c>
      <c r="J25" s="25" t="s">
        <v>20</v>
      </c>
      <c r="K25" s="25" t="s">
        <v>21</v>
      </c>
      <c r="L25" s="25" t="s">
        <v>17</v>
      </c>
      <c r="N25" s="50"/>
      <c r="O25" s="50"/>
    </row>
    <row r="26" ht="15.75" customHeight="1">
      <c r="B26" s="31" t="s">
        <v>6</v>
      </c>
      <c r="C26" s="32">
        <v>475500.0</v>
      </c>
      <c r="D26" s="33"/>
      <c r="E26" s="33"/>
      <c r="F26" s="34">
        <v>75500.0</v>
      </c>
      <c r="G26" s="34">
        <v>173750.0</v>
      </c>
      <c r="H26" s="34">
        <v>119500.0</v>
      </c>
      <c r="I26" s="35">
        <v>272600.0</v>
      </c>
      <c r="J26" s="36">
        <f>sum(C26:I26)</f>
        <v>1116850</v>
      </c>
      <c r="K26" s="37">
        <f>($D$5/DAY(DATE(YEAR(TODAY()),MONTH(TODAY())+1,0)))*(7-COUNTBLANK(C25:I25))</f>
        <v>233333.3333</v>
      </c>
      <c r="L26" s="37">
        <f>iferror(J26-K26,0)</f>
        <v>883516.6667</v>
      </c>
      <c r="N26" s="50"/>
      <c r="O26" s="50"/>
    </row>
    <row r="27" ht="15.75" customHeight="1">
      <c r="B27" s="41" t="s">
        <v>7</v>
      </c>
      <c r="C27" s="42">
        <v>2.0</v>
      </c>
      <c r="D27" s="43"/>
      <c r="E27" s="43"/>
      <c r="F27" s="44">
        <v>1.0</v>
      </c>
      <c r="G27" s="44">
        <v>1.0</v>
      </c>
      <c r="H27" s="44">
        <v>2.0</v>
      </c>
      <c r="I27" s="81">
        <v>1.0</v>
      </c>
      <c r="J27" s="46">
        <f t="shared" ref="J27:J30" si="6">if(sum(C27:I27) =0,"-",sum(C27:I27))</f>
        <v>7</v>
      </c>
      <c r="K27" s="46">
        <f>($F$5/DAY(DATE(YEAR(TODAY()),MONTH(TODAY())+1,0)))*(7-COUNTBLANK(C25:I25))</f>
        <v>0.4666666667</v>
      </c>
      <c r="L27" s="46">
        <f t="shared" ref="L27:L30" si="7">iferror(J27-K27,"-")</f>
        <v>6.533333333</v>
      </c>
      <c r="N27" s="50"/>
      <c r="O27" s="50"/>
    </row>
    <row r="28" ht="15.75" customHeight="1">
      <c r="B28" s="41" t="s">
        <v>8</v>
      </c>
      <c r="C28" s="48"/>
      <c r="D28" s="43"/>
      <c r="E28" s="43"/>
      <c r="F28" s="43"/>
      <c r="G28" s="43"/>
      <c r="H28" s="43"/>
      <c r="I28" s="45"/>
      <c r="J28" s="46" t="str">
        <f t="shared" si="6"/>
        <v>-</v>
      </c>
      <c r="K28" s="46">
        <f>($H$5/DAY(DATE(YEAR(TODAY()),MONTH(TODAY())+1,0)))*(7-COUNTBLANK(C25:I25))</f>
        <v>1.166666667</v>
      </c>
      <c r="L28" s="46" t="str">
        <f t="shared" si="7"/>
        <v>-</v>
      </c>
      <c r="N28" s="50"/>
      <c r="O28" s="50"/>
    </row>
    <row r="29" ht="15.75" customHeight="1">
      <c r="B29" s="51" t="s">
        <v>9</v>
      </c>
      <c r="C29" s="52"/>
      <c r="D29" s="53"/>
      <c r="E29" s="53"/>
      <c r="F29" s="53"/>
      <c r="G29" s="53"/>
      <c r="H29" s="53"/>
      <c r="I29" s="54"/>
      <c r="J29" s="46" t="str">
        <f t="shared" si="6"/>
        <v>-</v>
      </c>
      <c r="K29" s="55">
        <f>($J$5/DAY(DATE(YEAR(TODAY()),MONTH(TODAY())+1,0)))*(7-COUNTBLANK(C25:I25))</f>
        <v>0</v>
      </c>
      <c r="L29" s="46" t="str">
        <f t="shared" si="7"/>
        <v>-</v>
      </c>
      <c r="N29" s="50"/>
      <c r="O29" s="50"/>
      <c r="R29" s="82"/>
    </row>
    <row r="30" ht="15.75" customHeight="1">
      <c r="B30" s="51" t="s">
        <v>10</v>
      </c>
      <c r="C30" s="52"/>
      <c r="D30" s="53"/>
      <c r="E30" s="53"/>
      <c r="F30" s="53"/>
      <c r="G30" s="53"/>
      <c r="H30" s="53"/>
      <c r="I30" s="54"/>
      <c r="J30" s="46" t="str">
        <f t="shared" si="6"/>
        <v>-</v>
      </c>
      <c r="K30" s="55">
        <f>($L$5/DAY(DATE(YEAR(TODAY()),MONTH(TODAY())+1,0)))*(7-COUNTBLANK(C25:I25))</f>
        <v>0</v>
      </c>
      <c r="L30" s="46" t="str">
        <f t="shared" si="7"/>
        <v>-</v>
      </c>
      <c r="N30" s="50"/>
      <c r="O30" s="50"/>
    </row>
    <row r="31" ht="15.75" customHeight="1">
      <c r="B31" s="51"/>
      <c r="C31" s="52"/>
      <c r="D31" s="53"/>
      <c r="E31" s="53"/>
      <c r="F31" s="53"/>
      <c r="G31" s="53"/>
      <c r="H31" s="53"/>
      <c r="I31" s="54"/>
      <c r="J31" s="46"/>
      <c r="K31" s="55"/>
      <c r="L31" s="46"/>
      <c r="N31" s="50"/>
      <c r="O31" s="50"/>
    </row>
    <row r="32" ht="15.75" customHeight="1">
      <c r="B32" s="41" t="s">
        <v>11</v>
      </c>
      <c r="C32" s="57">
        <v>1.0</v>
      </c>
      <c r="D32" s="53"/>
      <c r="E32" s="53"/>
      <c r="F32" s="53"/>
      <c r="G32" s="53"/>
      <c r="H32" s="53"/>
      <c r="I32" s="59">
        <v>3.0</v>
      </c>
      <c r="J32" s="46">
        <f t="shared" ref="J32:J34" si="8">if(sum(C32:I32) =0,"-",sum(C32:I32))</f>
        <v>4</v>
      </c>
      <c r="K32" s="55">
        <f>($N$5/DAY(DATE(YEAR(TODAY()),MONTH(TODAY())+1,0)))*(7-COUNTBLANK(C25:I25))</f>
        <v>4.666666667</v>
      </c>
      <c r="L32" s="46">
        <f t="shared" ref="L32:L35" si="9">iferror(J32-K32,"-")</f>
        <v>-0.6666666667</v>
      </c>
    </row>
    <row r="33" ht="15.75" customHeight="1">
      <c r="B33" s="56" t="s">
        <v>12</v>
      </c>
      <c r="C33" s="57">
        <v>1.0</v>
      </c>
      <c r="D33" s="53"/>
      <c r="E33" s="53"/>
      <c r="F33" s="58">
        <v>2.0</v>
      </c>
      <c r="G33" s="58">
        <v>5.0</v>
      </c>
      <c r="H33" s="58">
        <v>2.0</v>
      </c>
      <c r="I33" s="59">
        <v>3.0</v>
      </c>
      <c r="J33" s="46">
        <f t="shared" si="8"/>
        <v>13</v>
      </c>
      <c r="K33" s="55">
        <f>($P$5/DAY(DATE(YEAR(TODAY()),MONTH(TODAY())+1,0)))*(7-COUNTBLANK(C25:I25))</f>
        <v>18.66666667</v>
      </c>
      <c r="L33" s="46">
        <f t="shared" si="9"/>
        <v>-5.666666667</v>
      </c>
      <c r="M33" s="79"/>
      <c r="N33" s="79"/>
      <c r="O33" s="79"/>
      <c r="P33" s="79"/>
      <c r="Q33" s="79"/>
      <c r="R33" s="79"/>
      <c r="S33" s="79"/>
      <c r="T33" s="79"/>
      <c r="U33" s="79"/>
      <c r="V33" s="79"/>
    </row>
    <row r="34" ht="18.75" customHeight="1">
      <c r="B34" s="56" t="s">
        <v>13</v>
      </c>
      <c r="C34" s="57">
        <v>1.0</v>
      </c>
      <c r="D34" s="53"/>
      <c r="E34" s="53"/>
      <c r="F34" s="53"/>
      <c r="G34" s="53"/>
      <c r="H34" s="53"/>
      <c r="I34" s="59">
        <v>1.0</v>
      </c>
      <c r="J34" s="46">
        <f t="shared" si="8"/>
        <v>2</v>
      </c>
      <c r="K34" s="55">
        <f>($R$5/DAY(DATE(YEAR(TODAY()),MONTH(TODAY())+1,0)))*(7-COUNTBLANK(C25:I25))</f>
        <v>1.166666667</v>
      </c>
      <c r="L34" s="46">
        <f t="shared" si="9"/>
        <v>0.8333333333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 ht="18.75" customHeight="1">
      <c r="B35" s="61" t="s">
        <v>14</v>
      </c>
      <c r="C35" s="62">
        <v>5.0</v>
      </c>
      <c r="D35" s="63"/>
      <c r="E35" s="63"/>
      <c r="F35" s="64">
        <v>3.0</v>
      </c>
      <c r="G35" s="64">
        <v>6.0</v>
      </c>
      <c r="H35" s="63"/>
      <c r="I35" s="65">
        <v>8.0</v>
      </c>
      <c r="J35" s="66">
        <f>sum(C35:I35)</f>
        <v>22</v>
      </c>
      <c r="K35" s="67">
        <f>sum(K27:K34)</f>
        <v>26.13333333</v>
      </c>
      <c r="L35" s="67">
        <f t="shared" si="9"/>
        <v>-4.133333333</v>
      </c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 ht="18.75" customHeight="1">
      <c r="B36" s="68" t="s">
        <v>15</v>
      </c>
      <c r="C36" s="69"/>
      <c r="D36" s="70"/>
      <c r="E36" s="70"/>
      <c r="F36" s="70"/>
      <c r="G36" s="70"/>
      <c r="H36" s="70"/>
      <c r="I36" s="71"/>
      <c r="J36" s="72">
        <f t="shared" ref="J36:K36" si="10">iferror(J26/J35,0)</f>
        <v>50765.90909</v>
      </c>
      <c r="K36" s="73">
        <f t="shared" si="10"/>
        <v>8928.571429</v>
      </c>
      <c r="L36" s="73">
        <f t="shared" ref="L36:L37" si="11">iferror(J36-K36,0)</f>
        <v>41837.33766</v>
      </c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 ht="18.75" customHeight="1">
      <c r="B37" s="74" t="s">
        <v>33</v>
      </c>
      <c r="C37" s="75"/>
      <c r="D37" s="76"/>
      <c r="E37" s="76"/>
      <c r="F37" s="76"/>
      <c r="G37" s="76"/>
      <c r="H37" s="76"/>
      <c r="I37" s="77"/>
      <c r="J37" s="78"/>
      <c r="K37" s="78"/>
      <c r="L37" s="78">
        <f t="shared" si="11"/>
        <v>0</v>
      </c>
      <c r="M37" s="79"/>
      <c r="N37" s="79"/>
      <c r="O37" s="79"/>
      <c r="P37" s="79"/>
      <c r="Q37" s="79"/>
      <c r="R37" s="79"/>
      <c r="S37" s="79"/>
      <c r="T37" s="79"/>
      <c r="U37" s="79"/>
      <c r="V37" s="79"/>
    </row>
    <row r="38" ht="18.75" customHeight="1">
      <c r="B38" s="21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 ht="18.75" customHeight="1">
      <c r="B39" s="21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0" ht="15.75" customHeight="1">
      <c r="B40" s="21" t="s">
        <v>35</v>
      </c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 ht="15.75" customHeight="1">
      <c r="B41" s="22" t="s">
        <v>19</v>
      </c>
      <c r="C41" s="80">
        <v>15.0</v>
      </c>
      <c r="D41" s="24">
        <v>16.0</v>
      </c>
      <c r="E41" s="24">
        <v>17.0</v>
      </c>
      <c r="F41" s="24">
        <v>18.0</v>
      </c>
      <c r="G41" s="24">
        <v>19.0</v>
      </c>
      <c r="H41" s="24">
        <v>20.0</v>
      </c>
      <c r="I41" s="24">
        <v>21.0</v>
      </c>
      <c r="J41" s="25" t="s">
        <v>20</v>
      </c>
      <c r="K41" s="25" t="s">
        <v>21</v>
      </c>
      <c r="L41" s="25" t="s">
        <v>17</v>
      </c>
    </row>
    <row r="42" ht="15.75" customHeight="1">
      <c r="B42" s="31" t="s">
        <v>6</v>
      </c>
      <c r="C42" s="32">
        <v>330000.0</v>
      </c>
      <c r="D42" s="34"/>
      <c r="E42" s="34">
        <v>354000.0</v>
      </c>
      <c r="F42" s="33"/>
      <c r="G42" s="34">
        <v>60000.0</v>
      </c>
      <c r="H42" s="34">
        <v>202500.0</v>
      </c>
      <c r="I42" s="35">
        <v>50000.0</v>
      </c>
      <c r="J42" s="36">
        <f>sum(C42:I42)</f>
        <v>996500</v>
      </c>
      <c r="K42" s="37">
        <f>($D$5/DAY(DATE(YEAR(TODAY()),MONTH(TODAY())+1,0)))*(7-COUNTBLANK(C41:I41))</f>
        <v>233333.3333</v>
      </c>
      <c r="L42" s="37">
        <f>iferror(J42-K42,0)</f>
        <v>763166.6667</v>
      </c>
    </row>
    <row r="43" ht="15.75" customHeight="1">
      <c r="B43" s="41" t="s">
        <v>7</v>
      </c>
      <c r="C43" s="48"/>
      <c r="D43" s="44"/>
      <c r="E43" s="44">
        <v>3.0</v>
      </c>
      <c r="F43" s="43"/>
      <c r="G43" s="43"/>
      <c r="H43" s="43"/>
      <c r="I43" s="45"/>
      <c r="J43" s="46">
        <f t="shared" ref="J43:J49" si="12">if(sum(C43:I43) =0,"-",sum(C43:I43))</f>
        <v>3</v>
      </c>
      <c r="K43" s="46">
        <f>($F$5/DAY(DATE(YEAR(TODAY()),MONTH(TODAY())+1,0)))*(7-COUNTBLANK(C41:I41))</f>
        <v>0.4666666667</v>
      </c>
      <c r="L43" s="46">
        <f t="shared" ref="L43:L50" si="13">iferror(J43-K43,"-")</f>
        <v>2.533333333</v>
      </c>
    </row>
    <row r="44" ht="15.75" customHeight="1">
      <c r="B44" s="41" t="s">
        <v>8</v>
      </c>
      <c r="C44" s="48"/>
      <c r="D44" s="43"/>
      <c r="E44" s="43"/>
      <c r="F44" s="43"/>
      <c r="G44" s="43"/>
      <c r="H44" s="43"/>
      <c r="I44" s="45"/>
      <c r="J44" s="46" t="str">
        <f t="shared" si="12"/>
        <v>-</v>
      </c>
      <c r="K44" s="46">
        <f>($H$5/DAY(DATE(YEAR(TODAY()),MONTH(TODAY())+1,0)))*(7-COUNTBLANK(C41:I41))</f>
        <v>1.166666667</v>
      </c>
      <c r="L44" s="46" t="str">
        <f t="shared" si="13"/>
        <v>-</v>
      </c>
    </row>
    <row r="45" ht="15.75" customHeight="1">
      <c r="B45" s="51" t="s">
        <v>9</v>
      </c>
      <c r="C45" s="52"/>
      <c r="D45" s="53"/>
      <c r="E45" s="53"/>
      <c r="F45" s="53"/>
      <c r="G45" s="53"/>
      <c r="H45" s="53"/>
      <c r="I45" s="54"/>
      <c r="J45" s="46" t="str">
        <f t="shared" si="12"/>
        <v>-</v>
      </c>
      <c r="K45" s="55">
        <f>($J$5/DAY(DATE(YEAR(TODAY()),MONTH(TODAY())+1,0)))*(7-COUNTBLANK(C41:I41))</f>
        <v>0</v>
      </c>
      <c r="L45" s="46" t="str">
        <f t="shared" si="13"/>
        <v>-</v>
      </c>
    </row>
    <row r="46" ht="15.75" customHeight="1">
      <c r="B46" s="51" t="s">
        <v>10</v>
      </c>
      <c r="C46" s="52"/>
      <c r="D46" s="53"/>
      <c r="E46" s="53"/>
      <c r="F46" s="53"/>
      <c r="G46" s="53"/>
      <c r="H46" s="53"/>
      <c r="I46" s="54"/>
      <c r="J46" s="46" t="str">
        <f t="shared" si="12"/>
        <v>-</v>
      </c>
      <c r="K46" s="55">
        <f>($L$5/DAY(DATE(YEAR(TODAY()),MONTH(TODAY())+1,0)))*(7-COUNTBLANK(C41:I41))</f>
        <v>0</v>
      </c>
      <c r="L46" s="46" t="str">
        <f t="shared" si="13"/>
        <v>-</v>
      </c>
    </row>
    <row r="47" ht="15.75" customHeight="1">
      <c r="B47" s="41" t="s">
        <v>11</v>
      </c>
      <c r="C47" s="52"/>
      <c r="D47" s="53"/>
      <c r="E47" s="53"/>
      <c r="F47" s="53"/>
      <c r="G47" s="53"/>
      <c r="H47" s="58">
        <v>1.0</v>
      </c>
      <c r="I47" s="54"/>
      <c r="J47" s="46">
        <f t="shared" si="12"/>
        <v>1</v>
      </c>
      <c r="K47" s="55">
        <f>($N$5/DAY(DATE(YEAR(TODAY()),MONTH(TODAY())+1,0)))*(7-COUNTBLANK(C41:I41))</f>
        <v>4.666666667</v>
      </c>
      <c r="L47" s="46">
        <f t="shared" si="13"/>
        <v>-3.666666667</v>
      </c>
    </row>
    <row r="48" ht="15.75" customHeight="1">
      <c r="B48" s="56" t="s">
        <v>12</v>
      </c>
      <c r="C48" s="57">
        <v>2.0</v>
      </c>
      <c r="D48" s="58"/>
      <c r="E48" s="58">
        <v>3.0</v>
      </c>
      <c r="F48" s="53"/>
      <c r="G48" s="58">
        <v>1.0</v>
      </c>
      <c r="H48" s="58">
        <v>5.0</v>
      </c>
      <c r="I48" s="54"/>
      <c r="J48" s="46">
        <f t="shared" si="12"/>
        <v>11</v>
      </c>
      <c r="K48" s="55">
        <f>($P$5/DAY(DATE(YEAR(TODAY()),MONTH(TODAY())+1,0)))*(7-COUNTBLANK(C41:I41))</f>
        <v>18.66666667</v>
      </c>
      <c r="L48" s="46">
        <f t="shared" si="13"/>
        <v>-7.666666667</v>
      </c>
    </row>
    <row r="49" ht="15.75" customHeight="1">
      <c r="B49" s="56" t="s">
        <v>13</v>
      </c>
      <c r="C49" s="52"/>
      <c r="D49" s="53"/>
      <c r="E49" s="53"/>
      <c r="F49" s="53"/>
      <c r="G49" s="58">
        <v>1.0</v>
      </c>
      <c r="H49" s="53"/>
      <c r="I49" s="54"/>
      <c r="J49" s="46">
        <f t="shared" si="12"/>
        <v>1</v>
      </c>
      <c r="K49" s="55">
        <f>($R$5/DAY(DATE(YEAR(TODAY()),MONTH(TODAY())+1,0)))*(7-COUNTBLANK(C41:I41))</f>
        <v>1.166666667</v>
      </c>
      <c r="L49" s="46">
        <f t="shared" si="13"/>
        <v>-0.1666666667</v>
      </c>
    </row>
    <row r="50" ht="15.75" customHeight="1">
      <c r="B50" s="61" t="s">
        <v>14</v>
      </c>
      <c r="C50" s="62">
        <v>2.0</v>
      </c>
      <c r="D50" s="64"/>
      <c r="E50" s="64">
        <v>6.0</v>
      </c>
      <c r="F50" s="63"/>
      <c r="G50" s="63"/>
      <c r="H50" s="64">
        <v>6.0</v>
      </c>
      <c r="I50" s="83"/>
      <c r="J50" s="66">
        <f>sum(C50:I50)</f>
        <v>14</v>
      </c>
      <c r="K50" s="67">
        <f>sum(K43:K49)</f>
        <v>26.13333333</v>
      </c>
      <c r="L50" s="67">
        <f t="shared" si="13"/>
        <v>-12.13333333</v>
      </c>
    </row>
    <row r="51" ht="15.75" customHeight="1">
      <c r="B51" s="68" t="s">
        <v>15</v>
      </c>
      <c r="C51" s="69"/>
      <c r="D51" s="70"/>
      <c r="E51" s="70"/>
      <c r="F51" s="70"/>
      <c r="G51" s="70"/>
      <c r="H51" s="70"/>
      <c r="I51" s="71"/>
      <c r="J51" s="72">
        <f t="shared" ref="J51:K51" si="14">iferror(J42/J50,0)</f>
        <v>71178.57143</v>
      </c>
      <c r="K51" s="73">
        <f t="shared" si="14"/>
        <v>8928.571429</v>
      </c>
      <c r="L51" s="73">
        <f t="shared" ref="L51:L52" si="15">iferror(J51-K51,0)</f>
        <v>62250</v>
      </c>
    </row>
    <row r="52" ht="15.75" customHeight="1">
      <c r="B52" s="74" t="s">
        <v>33</v>
      </c>
      <c r="C52" s="75"/>
      <c r="D52" s="76"/>
      <c r="E52" s="76"/>
      <c r="F52" s="76"/>
      <c r="G52" s="76"/>
      <c r="H52" s="76"/>
      <c r="I52" s="77"/>
      <c r="J52" s="78"/>
      <c r="K52" s="78"/>
      <c r="L52" s="78">
        <f t="shared" si="15"/>
        <v>0</v>
      </c>
    </row>
    <row r="53" ht="15.75" customHeight="1"/>
    <row r="54" ht="15.75" customHeight="1"/>
    <row r="55" ht="15.75" customHeight="1">
      <c r="B55" s="21" t="s">
        <v>36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 ht="15.75" customHeight="1">
      <c r="B56" s="22" t="s">
        <v>19</v>
      </c>
      <c r="C56" s="80">
        <v>22.0</v>
      </c>
      <c r="D56" s="24">
        <v>23.0</v>
      </c>
      <c r="E56" s="24">
        <v>24.0</v>
      </c>
      <c r="F56" s="24">
        <v>25.0</v>
      </c>
      <c r="G56" s="24">
        <v>26.0</v>
      </c>
      <c r="H56" s="24">
        <v>27.0</v>
      </c>
      <c r="I56" s="24">
        <v>28.0</v>
      </c>
      <c r="J56" s="25" t="s">
        <v>20</v>
      </c>
      <c r="K56" s="25" t="s">
        <v>21</v>
      </c>
      <c r="L56" s="25" t="s">
        <v>17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 ht="15.75" customHeight="1">
      <c r="B57" s="31" t="s">
        <v>6</v>
      </c>
      <c r="C57" s="32">
        <v>270000.0</v>
      </c>
      <c r="D57" s="33"/>
      <c r="E57" s="34">
        <v>105000.0</v>
      </c>
      <c r="F57" s="34">
        <v>490000.0</v>
      </c>
      <c r="G57" s="34">
        <v>395200.0</v>
      </c>
      <c r="H57" s="34">
        <v>105500.0</v>
      </c>
      <c r="I57" s="35">
        <v>50500.0</v>
      </c>
      <c r="J57" s="36">
        <f>sum(C57:I57)</f>
        <v>1416200</v>
      </c>
      <c r="K57" s="37">
        <f>($D$5/DAY(DATE(YEAR(TODAY()),MONTH(TODAY())+1,0)))*(7-COUNTBLANK(C56:I56))</f>
        <v>233333.3333</v>
      </c>
      <c r="L57" s="37">
        <f>iferror(J57-K57,0)</f>
        <v>1182866.667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 ht="15.75" customHeight="1">
      <c r="B58" s="41" t="s">
        <v>7</v>
      </c>
      <c r="C58" s="48"/>
      <c r="D58" s="43"/>
      <c r="E58" s="44">
        <v>1.0</v>
      </c>
      <c r="F58" s="43"/>
      <c r="G58" s="43"/>
      <c r="H58" s="43"/>
      <c r="I58" s="45"/>
      <c r="J58" s="46">
        <f t="shared" ref="J58:J64" si="16">if(sum(C58:I58) =0,"-",sum(C58:I58))</f>
        <v>1</v>
      </c>
      <c r="K58" s="46">
        <f>($F$5/DAY(DATE(YEAR(TODAY()),MONTH(TODAY())+1,0)))*(7-COUNTBLANK(C56:I56))</f>
        <v>0.4666666667</v>
      </c>
      <c r="L58" s="46">
        <f t="shared" ref="L58:L65" si="17">iferror(J58-K58,"-")</f>
        <v>0.5333333333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 ht="15.75" customHeight="1">
      <c r="B59" s="41" t="s">
        <v>8</v>
      </c>
      <c r="C59" s="48"/>
      <c r="D59" s="43"/>
      <c r="E59" s="43"/>
      <c r="F59" s="43"/>
      <c r="G59" s="43"/>
      <c r="H59" s="43"/>
      <c r="I59" s="45"/>
      <c r="J59" s="46" t="str">
        <f t="shared" si="16"/>
        <v>-</v>
      </c>
      <c r="K59" s="46">
        <f>($H$5/DAY(DATE(YEAR(TODAY()),MONTH(TODAY())+1,0)))*(7-COUNTBLANK(C56:I56))</f>
        <v>1.166666667</v>
      </c>
      <c r="L59" s="46" t="str">
        <f t="shared" si="17"/>
        <v>-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 ht="15.75" customHeight="1">
      <c r="B60" s="51" t="s">
        <v>9</v>
      </c>
      <c r="C60" s="52"/>
      <c r="D60" s="53"/>
      <c r="E60" s="53"/>
      <c r="F60" s="53"/>
      <c r="G60" s="53"/>
      <c r="H60" s="53"/>
      <c r="I60" s="54"/>
      <c r="J60" s="46" t="str">
        <f t="shared" si="16"/>
        <v>-</v>
      </c>
      <c r="K60" s="55">
        <f>($J$5/DAY(DATE(YEAR(TODAY()),MONTH(TODAY())+1,0)))*(7-COUNTBLANK(C56:I56))</f>
        <v>0</v>
      </c>
      <c r="L60" s="46" t="str">
        <f t="shared" si="17"/>
        <v>-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 ht="15.75" customHeight="1">
      <c r="B61" s="51" t="s">
        <v>10</v>
      </c>
      <c r="C61" s="52"/>
      <c r="D61" s="53"/>
      <c r="E61" s="53"/>
      <c r="F61" s="53"/>
      <c r="G61" s="53"/>
      <c r="H61" s="53"/>
      <c r="I61" s="54"/>
      <c r="J61" s="46" t="str">
        <f t="shared" si="16"/>
        <v>-</v>
      </c>
      <c r="K61" s="55">
        <f>($L$5/DAY(DATE(YEAR(TODAY()),MONTH(TODAY())+1,0)))*(7-COUNTBLANK(C56:I56))</f>
        <v>0</v>
      </c>
      <c r="L61" s="46" t="str">
        <f t="shared" si="17"/>
        <v>-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 ht="15.75" customHeight="1">
      <c r="B62" s="41" t="s">
        <v>11</v>
      </c>
      <c r="C62" s="52"/>
      <c r="D62" s="53"/>
      <c r="E62" s="53"/>
      <c r="F62" s="53"/>
      <c r="G62" s="53"/>
      <c r="H62" s="53"/>
      <c r="I62" s="54"/>
      <c r="J62" s="46" t="str">
        <f t="shared" si="16"/>
        <v>-</v>
      </c>
      <c r="K62" s="55">
        <f>($N$5/DAY(DATE(YEAR(TODAY()),MONTH(TODAY())+1,0)))*(7-COUNTBLANK(C56:I56))</f>
        <v>4.666666667</v>
      </c>
      <c r="L62" s="46" t="str">
        <f t="shared" si="17"/>
        <v>-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 ht="15.75" customHeight="1">
      <c r="B63" s="56" t="s">
        <v>12</v>
      </c>
      <c r="C63" s="57">
        <v>10.0</v>
      </c>
      <c r="D63" s="53"/>
      <c r="E63" s="58">
        <v>3.0</v>
      </c>
      <c r="F63" s="58">
        <v>4.0</v>
      </c>
      <c r="G63" s="58">
        <v>4.0</v>
      </c>
      <c r="H63" s="58">
        <v>3.0</v>
      </c>
      <c r="I63" s="59">
        <v>2.0</v>
      </c>
      <c r="J63" s="46">
        <f t="shared" si="16"/>
        <v>26</v>
      </c>
      <c r="K63" s="55">
        <f>($P$5/DAY(DATE(YEAR(TODAY()),MONTH(TODAY())+1,0)))*(7-COUNTBLANK(C56:I56))</f>
        <v>18.66666667</v>
      </c>
      <c r="L63" s="46">
        <f t="shared" si="17"/>
        <v>7.333333333</v>
      </c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 ht="15.75" customHeight="1">
      <c r="B64" s="56" t="s">
        <v>13</v>
      </c>
      <c r="C64" s="52"/>
      <c r="D64" s="53"/>
      <c r="E64" s="53"/>
      <c r="F64" s="53"/>
      <c r="G64" s="53"/>
      <c r="H64" s="53"/>
      <c r="I64" s="54"/>
      <c r="J64" s="46" t="str">
        <f t="shared" si="16"/>
        <v>-</v>
      </c>
      <c r="K64" s="55">
        <f>($R$5/DAY(DATE(YEAR(TODAY()),MONTH(TODAY())+1,0)))*(7-COUNTBLANK(C56:I56))</f>
        <v>1.166666667</v>
      </c>
      <c r="L64" s="46" t="str">
        <f t="shared" si="17"/>
        <v>-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 ht="15.75" customHeight="1">
      <c r="B65" s="61" t="s">
        <v>14</v>
      </c>
      <c r="C65" s="62">
        <v>10.0</v>
      </c>
      <c r="D65" s="63"/>
      <c r="E65" s="64">
        <v>4.0</v>
      </c>
      <c r="F65" s="64">
        <v>4.0</v>
      </c>
      <c r="G65" s="64">
        <v>4.0</v>
      </c>
      <c r="H65" s="64">
        <v>3.0</v>
      </c>
      <c r="I65" s="65">
        <v>2.0</v>
      </c>
      <c r="J65" s="66">
        <f>sum(C65:I65)</f>
        <v>27</v>
      </c>
      <c r="K65" s="67">
        <f>sum(K58:K64)</f>
        <v>26.13333333</v>
      </c>
      <c r="L65" s="67">
        <f t="shared" si="17"/>
        <v>0.8666666667</v>
      </c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 ht="15.75" customHeight="1">
      <c r="B66" s="68" t="s">
        <v>15</v>
      </c>
      <c r="C66" s="69"/>
      <c r="D66" s="70"/>
      <c r="E66" s="70"/>
      <c r="F66" s="70"/>
      <c r="G66" s="70"/>
      <c r="H66" s="70"/>
      <c r="I66" s="71"/>
      <c r="J66" s="72">
        <f t="shared" ref="J66:K66" si="18">iferror(J57/J65,0)</f>
        <v>52451.85185</v>
      </c>
      <c r="K66" s="73">
        <f t="shared" si="18"/>
        <v>8928.571429</v>
      </c>
      <c r="L66" s="73">
        <f t="shared" ref="L66:L67" si="19">iferror(J66-K66,0)</f>
        <v>43523.28042</v>
      </c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 ht="15.75" customHeight="1">
      <c r="B67" s="74" t="s">
        <v>33</v>
      </c>
      <c r="C67" s="75"/>
      <c r="D67" s="76"/>
      <c r="E67" s="76"/>
      <c r="F67" s="76"/>
      <c r="G67" s="76"/>
      <c r="H67" s="76"/>
      <c r="I67" s="77"/>
      <c r="J67" s="78"/>
      <c r="K67" s="78"/>
      <c r="L67" s="78">
        <f t="shared" si="19"/>
        <v>0</v>
      </c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 ht="15.75" customHeight="1">
      <c r="B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 ht="15.75" customHeight="1">
      <c r="B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 ht="15.75" customHeight="1">
      <c r="B70" s="21" t="s">
        <v>37</v>
      </c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 ht="15.75" customHeight="1">
      <c r="B71" s="22" t="s">
        <v>19</v>
      </c>
      <c r="C71" s="80">
        <v>29.0</v>
      </c>
      <c r="D71" s="24">
        <v>30.0</v>
      </c>
      <c r="E71" s="24">
        <v>31.0</v>
      </c>
      <c r="F71" s="84"/>
      <c r="G71" s="84"/>
      <c r="H71" s="84"/>
      <c r="I71" s="84"/>
      <c r="J71" s="25" t="s">
        <v>20</v>
      </c>
      <c r="K71" s="25" t="s">
        <v>21</v>
      </c>
      <c r="L71" s="25" t="s">
        <v>17</v>
      </c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 ht="15.75" customHeight="1">
      <c r="B72" s="31" t="s">
        <v>6</v>
      </c>
      <c r="C72" s="32">
        <v>116750.0</v>
      </c>
      <c r="D72" s="33"/>
      <c r="E72" s="33"/>
      <c r="F72" s="33"/>
      <c r="G72" s="33"/>
      <c r="H72" s="33"/>
      <c r="I72" s="85"/>
      <c r="J72" s="36">
        <f>sum(C72:I72)</f>
        <v>116750</v>
      </c>
      <c r="K72" s="37">
        <f>($D$5/DAY(DATE(YEAR(TODAY()),MONTH(TODAY())+1,0)))*(7-COUNTBLANK(C71:I71))</f>
        <v>100000</v>
      </c>
      <c r="L72" s="37">
        <f>iferror(J72-K72,0)</f>
        <v>16750</v>
      </c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 ht="15.75" customHeight="1">
      <c r="B73" s="41" t="s">
        <v>7</v>
      </c>
      <c r="C73" s="48"/>
      <c r="D73" s="43"/>
      <c r="E73" s="43"/>
      <c r="F73" s="43"/>
      <c r="G73" s="43"/>
      <c r="H73" s="43"/>
      <c r="I73" s="45"/>
      <c r="J73" s="46" t="str">
        <f t="shared" ref="J73:J79" si="20">if(sum(C73:I73) =0,"-",sum(C73:I73))</f>
        <v>-</v>
      </c>
      <c r="K73" s="46">
        <f>($F$5/DAY(DATE(YEAR(TODAY()),MONTH(TODAY())+1,0)))*(7-COUNTBLANK(C71:I71))</f>
        <v>0.2</v>
      </c>
      <c r="L73" s="46" t="str">
        <f t="shared" ref="L73:L80" si="21">iferror(J73-K73,"-")</f>
        <v>-</v>
      </c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 ht="15.75" customHeight="1">
      <c r="B74" s="41" t="s">
        <v>8</v>
      </c>
      <c r="C74" s="48"/>
      <c r="D74" s="43"/>
      <c r="E74" s="43"/>
      <c r="F74" s="43"/>
      <c r="G74" s="43"/>
      <c r="H74" s="43"/>
      <c r="I74" s="45"/>
      <c r="J74" s="46" t="str">
        <f t="shared" si="20"/>
        <v>-</v>
      </c>
      <c r="K74" s="46">
        <f>($H$5/DAY(DATE(YEAR(TODAY()),MONTH(TODAY())+1,0)))*(7-COUNTBLANK(C71:I71))</f>
        <v>0.5</v>
      </c>
      <c r="L74" s="46" t="str">
        <f t="shared" si="21"/>
        <v>-</v>
      </c>
    </row>
    <row r="75" ht="15.75" customHeight="1">
      <c r="B75" s="51" t="s">
        <v>9</v>
      </c>
      <c r="C75" s="52"/>
      <c r="D75" s="53"/>
      <c r="E75" s="53"/>
      <c r="F75" s="53"/>
      <c r="G75" s="53"/>
      <c r="H75" s="53"/>
      <c r="I75" s="54"/>
      <c r="J75" s="46" t="str">
        <f t="shared" si="20"/>
        <v>-</v>
      </c>
      <c r="K75" s="55">
        <f>($J$5/DAY(DATE(YEAR(TODAY()),MONTH(TODAY())+1,0)))*(7-COUNTBLANK(C71:I71))</f>
        <v>0</v>
      </c>
      <c r="L75" s="46" t="str">
        <f t="shared" si="21"/>
        <v>-</v>
      </c>
    </row>
    <row r="76" ht="15.75" customHeight="1">
      <c r="B76" s="51" t="s">
        <v>10</v>
      </c>
      <c r="C76" s="52"/>
      <c r="D76" s="53"/>
      <c r="E76" s="53"/>
      <c r="F76" s="53"/>
      <c r="G76" s="53"/>
      <c r="H76" s="53"/>
      <c r="I76" s="54"/>
      <c r="J76" s="46" t="str">
        <f t="shared" si="20"/>
        <v>-</v>
      </c>
      <c r="K76" s="55">
        <f>($L$5/DAY(DATE(YEAR(TODAY()),MONTH(TODAY())+1,0)))*(7-COUNTBLANK(C71:I71))</f>
        <v>0</v>
      </c>
      <c r="L76" s="46" t="str">
        <f t="shared" si="21"/>
        <v>-</v>
      </c>
    </row>
    <row r="77" ht="15.75" customHeight="1">
      <c r="B77" s="41" t="s">
        <v>11</v>
      </c>
      <c r="C77" s="52"/>
      <c r="D77" s="53"/>
      <c r="E77" s="53"/>
      <c r="F77" s="53"/>
      <c r="G77" s="53"/>
      <c r="H77" s="53"/>
      <c r="I77" s="54"/>
      <c r="J77" s="46" t="str">
        <f t="shared" si="20"/>
        <v>-</v>
      </c>
      <c r="K77" s="55">
        <f>($N$5/DAY(DATE(YEAR(TODAY()),MONTH(TODAY())+1,0)))*(7-COUNTBLANK(C71:I71))</f>
        <v>2</v>
      </c>
      <c r="L77" s="46" t="str">
        <f t="shared" si="21"/>
        <v>-</v>
      </c>
    </row>
    <row r="78" ht="15.75" customHeight="1">
      <c r="B78" s="56" t="s">
        <v>12</v>
      </c>
      <c r="C78" s="57">
        <v>4.0</v>
      </c>
      <c r="D78" s="53"/>
      <c r="E78" s="53"/>
      <c r="F78" s="53"/>
      <c r="G78" s="53"/>
      <c r="H78" s="53"/>
      <c r="I78" s="54"/>
      <c r="J78" s="46">
        <f t="shared" si="20"/>
        <v>4</v>
      </c>
      <c r="K78" s="55">
        <f>($P$5/DAY(DATE(YEAR(TODAY()),MONTH(TODAY())+1,0)))*(7-COUNTBLANK(C71:I71))</f>
        <v>8</v>
      </c>
      <c r="L78" s="46">
        <f t="shared" si="21"/>
        <v>-4</v>
      </c>
    </row>
    <row r="79" ht="15.75" customHeight="1">
      <c r="B79" s="56" t="s">
        <v>13</v>
      </c>
      <c r="C79" s="52"/>
      <c r="D79" s="53"/>
      <c r="E79" s="53"/>
      <c r="F79" s="53"/>
      <c r="G79" s="53"/>
      <c r="H79" s="53"/>
      <c r="I79" s="54"/>
      <c r="J79" s="46" t="str">
        <f t="shared" si="20"/>
        <v>-</v>
      </c>
      <c r="K79" s="55">
        <f>($R$5/DAY(DATE(YEAR(TODAY()),MONTH(TODAY())+1,0)))*(7-COUNTBLANK(C71:I71))</f>
        <v>0.5</v>
      </c>
      <c r="L79" s="46" t="str">
        <f t="shared" si="21"/>
        <v>-</v>
      </c>
    </row>
    <row r="80" ht="15.75" customHeight="1">
      <c r="B80" s="61" t="s">
        <v>14</v>
      </c>
      <c r="C80" s="86">
        <f t="shared" ref="C80:I80" si="22">sum(C73:C79)</f>
        <v>4</v>
      </c>
      <c r="D80" s="63">
        <f t="shared" si="22"/>
        <v>0</v>
      </c>
      <c r="E80" s="63">
        <f t="shared" si="22"/>
        <v>0</v>
      </c>
      <c r="F80" s="63">
        <f t="shared" si="22"/>
        <v>0</v>
      </c>
      <c r="G80" s="63">
        <f t="shared" si="22"/>
        <v>0</v>
      </c>
      <c r="H80" s="63">
        <f t="shared" si="22"/>
        <v>0</v>
      </c>
      <c r="I80" s="83">
        <f t="shared" si="22"/>
        <v>0</v>
      </c>
      <c r="J80" s="66">
        <f>sum(C80:I80)</f>
        <v>4</v>
      </c>
      <c r="K80" s="67">
        <f>sum(K73:K79)</f>
        <v>11.2</v>
      </c>
      <c r="L80" s="67">
        <f t="shared" si="21"/>
        <v>-7.2</v>
      </c>
    </row>
    <row r="81" ht="15.75" customHeight="1">
      <c r="B81" s="68" t="s">
        <v>15</v>
      </c>
      <c r="C81" s="69">
        <f t="shared" ref="C81:K81" si="23">iferror(C72/C80,0)</f>
        <v>29187.5</v>
      </c>
      <c r="D81" s="70">
        <f t="shared" si="23"/>
        <v>0</v>
      </c>
      <c r="E81" s="70">
        <f t="shared" si="23"/>
        <v>0</v>
      </c>
      <c r="F81" s="70">
        <f t="shared" si="23"/>
        <v>0</v>
      </c>
      <c r="G81" s="70">
        <f t="shared" si="23"/>
        <v>0</v>
      </c>
      <c r="H81" s="70">
        <f t="shared" si="23"/>
        <v>0</v>
      </c>
      <c r="I81" s="71">
        <f t="shared" si="23"/>
        <v>0</v>
      </c>
      <c r="J81" s="72">
        <f t="shared" si="23"/>
        <v>29187.5</v>
      </c>
      <c r="K81" s="73">
        <f t="shared" si="23"/>
        <v>8928.571429</v>
      </c>
      <c r="L81" s="73">
        <f t="shared" ref="L81:L82" si="24">iferror(J81-K81,0)</f>
        <v>20258.92857</v>
      </c>
    </row>
    <row r="82" ht="15.75" customHeight="1">
      <c r="B82" s="74" t="s">
        <v>33</v>
      </c>
      <c r="C82" s="75"/>
      <c r="D82" s="76"/>
      <c r="E82" s="76"/>
      <c r="F82" s="76"/>
      <c r="G82" s="76"/>
      <c r="H82" s="76"/>
      <c r="I82" s="77"/>
      <c r="J82" s="78"/>
      <c r="K82" s="78"/>
      <c r="L82" s="78">
        <f t="shared" si="24"/>
        <v>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V2"/>
    <mergeCell ref="E4:G4"/>
    <mergeCell ref="J4:L4"/>
    <mergeCell ref="U4:V4"/>
  </mergeCells>
  <conditionalFormatting sqref="L11:L21 L26:L37 L42:L52 L57:L67 L72:L82">
    <cfRule type="cellIs" dxfId="0" priority="1" operator="greaterThan">
      <formula>0</formula>
    </cfRule>
  </conditionalFormatting>
  <conditionalFormatting sqref="L11:L21 L26:L37 L42:L52 L57:L67 L72:L82">
    <cfRule type="cellIs" dxfId="1" priority="2" operator="lessThan">
      <formula>0</formula>
    </cfRule>
  </conditionalFormatting>
  <conditionalFormatting sqref="D7 F7 H7 J7 L7 N7 P7 R7 T7 V7">
    <cfRule type="cellIs" dxfId="1" priority="3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87" t="s">
        <v>38</v>
      </c>
      <c r="C4" s="3">
        <v>6.0</v>
      </c>
      <c r="D4" s="4"/>
      <c r="E4" s="4" t="s">
        <v>1</v>
      </c>
      <c r="H4" s="4"/>
      <c r="I4" s="4" t="s">
        <v>2</v>
      </c>
      <c r="J4" s="4" t="s">
        <v>3</v>
      </c>
      <c r="M4" s="5"/>
      <c r="N4" s="5"/>
      <c r="O4" s="5"/>
      <c r="P4" s="5"/>
      <c r="Q4" s="5"/>
      <c r="R4" s="5"/>
      <c r="S4" s="5"/>
      <c r="T4" s="5"/>
      <c r="U4" s="5" t="s">
        <v>4</v>
      </c>
    </row>
    <row r="5" ht="15.75" customHeight="1">
      <c r="B5" s="6" t="s">
        <v>5</v>
      </c>
      <c r="C5" s="7" t="s">
        <v>6</v>
      </c>
      <c r="D5" s="8">
        <v>6000000.0</v>
      </c>
      <c r="E5" s="7" t="s">
        <v>7</v>
      </c>
      <c r="F5" s="9">
        <v>30.0</v>
      </c>
      <c r="G5" s="7" t="s">
        <v>8</v>
      </c>
      <c r="H5" s="9">
        <v>5.0</v>
      </c>
      <c r="I5" s="7" t="s">
        <v>9</v>
      </c>
      <c r="J5" s="10"/>
      <c r="K5" s="7" t="s">
        <v>10</v>
      </c>
      <c r="L5" s="10">
        <v>0.0</v>
      </c>
      <c r="M5" s="7" t="s">
        <v>11</v>
      </c>
      <c r="N5" s="9">
        <v>15.0</v>
      </c>
      <c r="O5" s="7" t="s">
        <v>12</v>
      </c>
      <c r="P5" s="9">
        <v>45.0</v>
      </c>
      <c r="Q5" s="7" t="s">
        <v>13</v>
      </c>
      <c r="R5" s="9">
        <v>5.0</v>
      </c>
      <c r="S5" s="7" t="s">
        <v>14</v>
      </c>
      <c r="T5" s="10">
        <f t="shared" ref="T5:T6" si="1">SUM(E5:R5)</f>
        <v>100</v>
      </c>
      <c r="U5" s="7" t="s">
        <v>15</v>
      </c>
      <c r="V5" s="11">
        <f>iferror(D5/T5,"-")</f>
        <v>60000</v>
      </c>
    </row>
    <row r="6" ht="15.75" customHeight="1">
      <c r="B6" s="12" t="s">
        <v>16</v>
      </c>
      <c r="C6" s="13" t="s">
        <v>6</v>
      </c>
      <c r="D6" s="88">
        <v>6085913.0</v>
      </c>
      <c r="E6" s="13" t="s">
        <v>7</v>
      </c>
      <c r="F6" s="15">
        <f>IFERROR(__xludf.DUMMYFUNCTION("SUM(FILTER($J10:$J1025,$B10:$B1025=E6))"),37.0)</f>
        <v>37</v>
      </c>
      <c r="G6" s="13" t="s">
        <v>8</v>
      </c>
      <c r="H6" s="15">
        <f>IFERROR(__xludf.DUMMYFUNCTION("SUM(FILTER($J10:$J1025,$B10:$B1025=G6))"),5.0)</f>
        <v>5</v>
      </c>
      <c r="I6" s="13" t="s">
        <v>9</v>
      </c>
      <c r="J6" s="15">
        <f>IFERROR(__xludf.DUMMYFUNCTION("SUM(FILTER($J10:$J1025,$B10:$B1025=I6))"),0.0)</f>
        <v>0</v>
      </c>
      <c r="K6" s="13" t="s">
        <v>10</v>
      </c>
      <c r="L6" s="15">
        <f>IFERROR(__xludf.DUMMYFUNCTION("SUM(FILTER($J10:$J1025,$B10:$B1025=K6))"),0.0)</f>
        <v>0</v>
      </c>
      <c r="M6" s="13" t="s">
        <v>11</v>
      </c>
      <c r="N6" s="15">
        <f>IFERROR(__xludf.DUMMYFUNCTION("SUM(FILTER($J10:$J1025,$B10:$B1025=M6))"),17.0)</f>
        <v>17</v>
      </c>
      <c r="O6" s="13" t="s">
        <v>12</v>
      </c>
      <c r="P6" s="14">
        <v>77.0</v>
      </c>
      <c r="Q6" s="13" t="s">
        <v>13</v>
      </c>
      <c r="R6" s="14">
        <v>4.0</v>
      </c>
      <c r="S6" s="13" t="s">
        <v>14</v>
      </c>
      <c r="T6" s="15">
        <f t="shared" si="1"/>
        <v>140</v>
      </c>
      <c r="U6" s="13" t="s">
        <v>15</v>
      </c>
      <c r="V6" s="16">
        <f>iferror(D6/T6,0)</f>
        <v>43470.80714</v>
      </c>
    </row>
    <row r="7" ht="15.75" customHeight="1">
      <c r="B7" s="17" t="s">
        <v>17</v>
      </c>
      <c r="C7" s="18" t="s">
        <v>6</v>
      </c>
      <c r="D7" s="19">
        <f>D6-D5</f>
        <v>85913</v>
      </c>
      <c r="E7" s="18" t="s">
        <v>7</v>
      </c>
      <c r="F7" s="19">
        <f>F6-F5</f>
        <v>7</v>
      </c>
      <c r="G7" s="18" t="s">
        <v>8</v>
      </c>
      <c r="H7" s="19">
        <f>H6-H5</f>
        <v>0</v>
      </c>
      <c r="I7" s="18" t="s">
        <v>9</v>
      </c>
      <c r="J7" s="19">
        <f>J6-J5</f>
        <v>0</v>
      </c>
      <c r="K7" s="18" t="s">
        <v>10</v>
      </c>
      <c r="L7" s="19">
        <f>L6-L5</f>
        <v>0</v>
      </c>
      <c r="M7" s="18" t="s">
        <v>11</v>
      </c>
      <c r="N7" s="19">
        <f>N6-N5</f>
        <v>2</v>
      </c>
      <c r="O7" s="18" t="s">
        <v>12</v>
      </c>
      <c r="P7" s="19">
        <f>P6-P5</f>
        <v>32</v>
      </c>
      <c r="Q7" s="18" t="s">
        <v>13</v>
      </c>
      <c r="R7" s="19">
        <f>R6-R5</f>
        <v>-1</v>
      </c>
      <c r="S7" s="18" t="s">
        <v>14</v>
      </c>
      <c r="T7" s="19">
        <f>T6-T5</f>
        <v>40</v>
      </c>
      <c r="U7" s="18" t="s">
        <v>15</v>
      </c>
      <c r="V7" s="20">
        <f>V6-V5</f>
        <v>-16529.19286</v>
      </c>
    </row>
    <row r="8" ht="17.25" customHeight="1"/>
    <row r="9" ht="15.75" customHeight="1">
      <c r="B9" s="21" t="s">
        <v>18</v>
      </c>
    </row>
    <row r="10" ht="15.75" customHeight="1">
      <c r="B10" s="22" t="s">
        <v>19</v>
      </c>
      <c r="C10" s="23"/>
      <c r="D10" s="24">
        <v>1.0</v>
      </c>
      <c r="E10" s="24">
        <v>2.0</v>
      </c>
      <c r="F10" s="24">
        <v>3.0</v>
      </c>
      <c r="G10" s="24">
        <v>4.0</v>
      </c>
      <c r="H10" s="24">
        <v>5.0</v>
      </c>
      <c r="I10" s="24">
        <v>6.0</v>
      </c>
      <c r="J10" s="25" t="s">
        <v>20</v>
      </c>
      <c r="K10" s="25" t="s">
        <v>21</v>
      </c>
      <c r="L10" s="25" t="s">
        <v>17</v>
      </c>
      <c r="N10" s="26" t="s">
        <v>22</v>
      </c>
      <c r="O10" s="27">
        <f>SUM(O11:O31)</f>
        <v>101000</v>
      </c>
      <c r="Q10" s="28"/>
      <c r="R10" s="29"/>
      <c r="S10" s="30" t="s">
        <v>6</v>
      </c>
      <c r="T10" s="30" t="s">
        <v>12</v>
      </c>
      <c r="U10" s="30" t="s">
        <v>7</v>
      </c>
    </row>
    <row r="11" ht="15.75" customHeight="1">
      <c r="B11" s="31" t="s">
        <v>6</v>
      </c>
      <c r="C11" s="89"/>
      <c r="D11" s="34">
        <v>211500.0</v>
      </c>
      <c r="E11" s="34">
        <v>507000.0</v>
      </c>
      <c r="F11" s="34">
        <v>221500.0</v>
      </c>
      <c r="G11" s="34">
        <v>358000.0</v>
      </c>
      <c r="H11" s="34">
        <v>390000.0</v>
      </c>
      <c r="I11" s="35">
        <v>56500.0</v>
      </c>
      <c r="J11" s="36">
        <f>sum(C11:I11)</f>
        <v>1744500</v>
      </c>
      <c r="K11" s="37">
        <f>($D$5/DAY(DATE(YEAR(TODAY()),MONTH(TODAY())+1,0)))*(7-COUNTBLANK(C10:I10))</f>
        <v>1200000</v>
      </c>
      <c r="L11" s="37">
        <f>iferror(J11-K11,0)</f>
        <v>544500</v>
      </c>
      <c r="N11" s="90">
        <v>619.0</v>
      </c>
      <c r="O11" s="91">
        <v>39000.0</v>
      </c>
      <c r="Q11" s="28"/>
      <c r="R11" s="92">
        <v>6.0</v>
      </c>
      <c r="S11" s="93">
        <v>6415029.0</v>
      </c>
      <c r="T11" s="93">
        <v>49.0</v>
      </c>
      <c r="U11" s="93">
        <v>37.0</v>
      </c>
    </row>
    <row r="12" ht="15.75" customHeight="1">
      <c r="B12" s="41" t="s">
        <v>7</v>
      </c>
      <c r="C12" s="48"/>
      <c r="D12" s="44">
        <v>1.0</v>
      </c>
      <c r="E12" s="44">
        <v>3.0</v>
      </c>
      <c r="F12" s="44">
        <v>1.0</v>
      </c>
      <c r="G12" s="44">
        <v>2.0</v>
      </c>
      <c r="H12" s="43"/>
      <c r="I12" s="81">
        <v>2.0</v>
      </c>
      <c r="J12" s="46">
        <f t="shared" ref="J12:J18" si="2">if(sum(C12:I12) =0,"-",sum(C12:I12))</f>
        <v>9</v>
      </c>
      <c r="K12" s="46">
        <f>($F$5/DAY(DATE(YEAR(TODAY()),MONTH(TODAY())+1,0)))*(7-COUNTBLANK(C10:I10))</f>
        <v>6</v>
      </c>
      <c r="L12" s="46">
        <f t="shared" ref="L12:L19" si="3">iferror(J12-K12,"-")</f>
        <v>3</v>
      </c>
      <c r="N12" s="94">
        <v>29.0</v>
      </c>
      <c r="O12" s="95">
        <v>62000.0</v>
      </c>
      <c r="R12" s="92">
        <v>8.0</v>
      </c>
      <c r="S12" s="93">
        <v>5300000.0</v>
      </c>
      <c r="T12" s="93">
        <v>74.0</v>
      </c>
      <c r="U12" s="93">
        <v>17.0</v>
      </c>
    </row>
    <row r="13" ht="15.75" customHeight="1">
      <c r="B13" s="41" t="s">
        <v>8</v>
      </c>
      <c r="C13" s="48"/>
      <c r="D13" s="43"/>
      <c r="E13" s="43"/>
      <c r="F13" s="44">
        <v>1.0</v>
      </c>
      <c r="G13" s="43"/>
      <c r="H13" s="43"/>
      <c r="I13" s="45"/>
      <c r="J13" s="46">
        <f t="shared" si="2"/>
        <v>1</v>
      </c>
      <c r="K13" s="46">
        <f>($H$5/DAY(DATE(YEAR(TODAY()),MONTH(TODAY())+1,0)))*(7-COUNTBLANK(C10:I10))</f>
        <v>1</v>
      </c>
      <c r="L13" s="46">
        <f t="shared" si="3"/>
        <v>0</v>
      </c>
      <c r="N13" s="49"/>
      <c r="O13" s="47"/>
      <c r="R13" s="96">
        <v>7.0</v>
      </c>
      <c r="S13" s="93">
        <v>6085913.0</v>
      </c>
      <c r="T13" s="93">
        <v>77.0</v>
      </c>
      <c r="U13" s="93">
        <v>28.0</v>
      </c>
    </row>
    <row r="14" ht="15.75" customHeight="1">
      <c r="B14" s="51" t="s">
        <v>9</v>
      </c>
      <c r="C14" s="52"/>
      <c r="D14" s="53"/>
      <c r="E14" s="53"/>
      <c r="F14" s="53"/>
      <c r="G14" s="53"/>
      <c r="H14" s="53"/>
      <c r="I14" s="54"/>
      <c r="J14" s="46" t="str">
        <f t="shared" si="2"/>
        <v>-</v>
      </c>
      <c r="K14" s="55">
        <f>($J$5/DAY(DATE(YEAR(TODAY()),MONTH(TODAY())+1,0)))*(7-COUNTBLANK(C10:I10))</f>
        <v>0</v>
      </c>
      <c r="L14" s="46" t="str">
        <f t="shared" si="3"/>
        <v>-</v>
      </c>
      <c r="N14" s="13"/>
      <c r="O14" s="47"/>
      <c r="R14" s="50"/>
      <c r="S14" s="50"/>
      <c r="T14" s="50"/>
      <c r="U14" s="50"/>
    </row>
    <row r="15" ht="15.75" customHeight="1">
      <c r="B15" s="51" t="s">
        <v>10</v>
      </c>
      <c r="C15" s="52"/>
      <c r="D15" s="53"/>
      <c r="E15" s="53"/>
      <c r="F15" s="53"/>
      <c r="G15" s="53"/>
      <c r="H15" s="53"/>
      <c r="I15" s="54"/>
      <c r="J15" s="46" t="str">
        <f t="shared" si="2"/>
        <v>-</v>
      </c>
      <c r="K15" s="55">
        <f>($L$5/DAY(DATE(YEAR(TODAY()),MONTH(TODAY())+1,0)))*(7-COUNTBLANK(C10:I10))</f>
        <v>0</v>
      </c>
      <c r="L15" s="46" t="str">
        <f t="shared" si="3"/>
        <v>-</v>
      </c>
      <c r="N15" s="49"/>
      <c r="O15" s="47"/>
      <c r="R15" s="50" t="s">
        <v>26</v>
      </c>
      <c r="S15" s="40">
        <f>AVERAGE(S11:S13)</f>
        <v>5933647.333</v>
      </c>
      <c r="T15" s="50"/>
      <c r="U15" s="50"/>
    </row>
    <row r="16" ht="15.75" customHeight="1">
      <c r="B16" s="41" t="s">
        <v>11</v>
      </c>
      <c r="C16" s="52"/>
      <c r="D16" s="58">
        <v>1.0</v>
      </c>
      <c r="E16" s="53"/>
      <c r="F16" s="53"/>
      <c r="G16" s="58">
        <v>1.0</v>
      </c>
      <c r="H16" s="53"/>
      <c r="I16" s="54"/>
      <c r="J16" s="46">
        <f t="shared" si="2"/>
        <v>2</v>
      </c>
      <c r="K16" s="55">
        <f>($N$5/DAY(DATE(YEAR(TODAY()),MONTH(TODAY())+1,0)))*(7-COUNTBLANK(C10:I10))</f>
        <v>3</v>
      </c>
      <c r="L16" s="46">
        <f t="shared" si="3"/>
        <v>-1</v>
      </c>
      <c r="N16" s="49"/>
      <c r="O16" s="47"/>
      <c r="R16" s="50" t="s">
        <v>27</v>
      </c>
      <c r="S16" s="40">
        <f>AVERAGE(T11:T13)</f>
        <v>66.66666667</v>
      </c>
      <c r="T16" s="50"/>
      <c r="U16" s="50"/>
    </row>
    <row r="17" ht="15.75" customHeight="1">
      <c r="B17" s="56" t="s">
        <v>12</v>
      </c>
      <c r="C17" s="52"/>
      <c r="D17" s="58">
        <v>1.0</v>
      </c>
      <c r="E17" s="58">
        <v>3.0</v>
      </c>
      <c r="F17" s="58">
        <v>1.0</v>
      </c>
      <c r="G17" s="58">
        <v>1.0</v>
      </c>
      <c r="H17" s="58">
        <v>2.0</v>
      </c>
      <c r="I17" s="54"/>
      <c r="J17" s="46">
        <f t="shared" si="2"/>
        <v>8</v>
      </c>
      <c r="K17" s="55">
        <f>($P$5/DAY(DATE(YEAR(TODAY()),MONTH(TODAY())+1,0)))*(7-COUNTBLANK(C10:I10))</f>
        <v>9</v>
      </c>
      <c r="L17" s="46">
        <f t="shared" si="3"/>
        <v>-1</v>
      </c>
      <c r="N17" s="49"/>
      <c r="O17" s="47"/>
      <c r="R17" s="50"/>
      <c r="S17" s="50"/>
      <c r="T17" s="50"/>
      <c r="U17" s="50"/>
    </row>
    <row r="18" ht="15.75" customHeight="1">
      <c r="B18" s="56" t="s">
        <v>13</v>
      </c>
      <c r="C18" s="52"/>
      <c r="D18" s="53"/>
      <c r="E18" s="53"/>
      <c r="F18" s="53"/>
      <c r="G18" s="53"/>
      <c r="H18" s="58">
        <v>1.0</v>
      </c>
      <c r="I18" s="54"/>
      <c r="J18" s="46">
        <f t="shared" si="2"/>
        <v>1</v>
      </c>
      <c r="K18" s="55">
        <f>($R$5/DAY(DATE(YEAR(TODAY()),MONTH(TODAY())+1,0)))*(7-COUNTBLANK(C10:I10))</f>
        <v>1</v>
      </c>
      <c r="L18" s="46">
        <f t="shared" si="3"/>
        <v>0</v>
      </c>
      <c r="N18" s="49"/>
      <c r="O18" s="47"/>
      <c r="R18" s="50" t="s">
        <v>28</v>
      </c>
      <c r="S18" s="60">
        <f>(P6+R6)/U11</f>
        <v>2.189189189</v>
      </c>
      <c r="T18" s="50"/>
      <c r="U18" s="50" t="s">
        <v>29</v>
      </c>
    </row>
    <row r="19" ht="15.75" customHeight="1">
      <c r="B19" s="61" t="s">
        <v>14</v>
      </c>
      <c r="C19" s="86"/>
      <c r="D19" s="64">
        <v>3.0</v>
      </c>
      <c r="E19" s="64">
        <v>6.0</v>
      </c>
      <c r="F19" s="64">
        <v>3.0</v>
      </c>
      <c r="G19" s="64">
        <v>4.0</v>
      </c>
      <c r="H19" s="64">
        <v>3.0</v>
      </c>
      <c r="I19" s="83"/>
      <c r="J19" s="66">
        <f>sum(C19:I19)</f>
        <v>19</v>
      </c>
      <c r="K19" s="67">
        <f>sum(K12:K18)</f>
        <v>20</v>
      </c>
      <c r="L19" s="67">
        <f t="shared" si="3"/>
        <v>-1</v>
      </c>
      <c r="N19" s="49"/>
      <c r="O19" s="47"/>
      <c r="R19" s="50" t="s">
        <v>30</v>
      </c>
      <c r="S19" s="60">
        <f>D6/D5</f>
        <v>1.014318833</v>
      </c>
      <c r="T19" s="50"/>
      <c r="U19" s="50"/>
    </row>
    <row r="20" ht="15.75" customHeight="1">
      <c r="B20" s="68" t="s">
        <v>15</v>
      </c>
      <c r="C20" s="69"/>
      <c r="D20" s="70"/>
      <c r="E20" s="70"/>
      <c r="F20" s="70"/>
      <c r="G20" s="70"/>
      <c r="H20" s="70"/>
      <c r="I20" s="71"/>
      <c r="J20" s="72">
        <f t="shared" ref="J20:K20" si="4">iferror(J11/J19,0)</f>
        <v>91815.78947</v>
      </c>
      <c r="K20" s="73">
        <f t="shared" si="4"/>
        <v>60000</v>
      </c>
      <c r="L20" s="73">
        <f t="shared" ref="L20:L21" si="5">iferror(J20-K20,0)</f>
        <v>31815.78947</v>
      </c>
      <c r="N20" s="13"/>
      <c r="O20" s="47"/>
      <c r="R20" s="50" t="s">
        <v>31</v>
      </c>
      <c r="S20" s="60">
        <f>((D6/S11)-1)</f>
        <v>-0.05130389902</v>
      </c>
      <c r="T20" s="50"/>
      <c r="U20" s="50" t="s">
        <v>32</v>
      </c>
    </row>
    <row r="21" ht="15.75" customHeight="1">
      <c r="B21" s="74" t="s">
        <v>33</v>
      </c>
      <c r="C21" s="75"/>
      <c r="D21" s="76"/>
      <c r="E21" s="76"/>
      <c r="F21" s="76"/>
      <c r="G21" s="76"/>
      <c r="H21" s="76"/>
      <c r="I21" s="77"/>
      <c r="J21" s="78"/>
      <c r="K21" s="78"/>
      <c r="L21" s="78">
        <f t="shared" si="5"/>
        <v>0</v>
      </c>
      <c r="M21" s="79"/>
      <c r="N21" s="49"/>
      <c r="O21" s="47"/>
      <c r="P21" s="79"/>
      <c r="Q21" s="79"/>
      <c r="R21" s="79"/>
      <c r="S21" s="79"/>
      <c r="T21" s="79"/>
      <c r="U21" s="79"/>
      <c r="V21" s="79"/>
    </row>
    <row r="22" ht="18.0" customHeight="1">
      <c r="B22" s="79"/>
      <c r="J22" s="79"/>
      <c r="K22" s="79"/>
      <c r="L22" s="79"/>
      <c r="M22" s="79"/>
      <c r="N22" s="49"/>
      <c r="O22" s="47"/>
      <c r="P22" s="79"/>
      <c r="Q22" s="79"/>
      <c r="R22" s="79"/>
      <c r="T22" s="79"/>
      <c r="U22" s="79"/>
      <c r="V22" s="79"/>
    </row>
    <row r="23" ht="15.75" customHeight="1">
      <c r="B23" s="21" t="s">
        <v>34</v>
      </c>
      <c r="J23" s="79"/>
      <c r="K23" s="79"/>
      <c r="L23" s="79"/>
      <c r="N23" s="49"/>
      <c r="O23" s="47"/>
    </row>
    <row r="24" ht="15.75" customHeight="1">
      <c r="B24" s="21"/>
      <c r="J24" s="79"/>
      <c r="K24" s="79"/>
      <c r="L24" s="79"/>
      <c r="N24" s="49"/>
      <c r="O24" s="47"/>
    </row>
    <row r="25" ht="15.75" customHeight="1">
      <c r="B25" s="22" t="s">
        <v>19</v>
      </c>
      <c r="C25" s="80">
        <v>7.0</v>
      </c>
      <c r="D25" s="24">
        <v>8.0</v>
      </c>
      <c r="E25" s="24">
        <v>9.0</v>
      </c>
      <c r="F25" s="24">
        <v>10.0</v>
      </c>
      <c r="G25" s="24">
        <v>11.0</v>
      </c>
      <c r="H25" s="24">
        <v>12.0</v>
      </c>
      <c r="I25" s="24">
        <v>13.0</v>
      </c>
      <c r="J25" s="25" t="s">
        <v>20</v>
      </c>
      <c r="K25" s="25" t="s">
        <v>21</v>
      </c>
      <c r="L25" s="25" t="s">
        <v>17</v>
      </c>
      <c r="N25" s="50"/>
      <c r="O25" s="50"/>
    </row>
    <row r="26" ht="15.75" customHeight="1">
      <c r="B26" s="31" t="s">
        <v>6</v>
      </c>
      <c r="C26" s="89"/>
      <c r="D26" s="34">
        <v>100000.0</v>
      </c>
      <c r="E26" s="34">
        <v>87750.0</v>
      </c>
      <c r="F26" s="34">
        <v>305954.0</v>
      </c>
      <c r="G26" s="34">
        <v>63500.0</v>
      </c>
      <c r="H26" s="34">
        <v>421250.0</v>
      </c>
      <c r="I26" s="35">
        <v>533400.0</v>
      </c>
      <c r="J26" s="36">
        <f>sum(C26:I26)</f>
        <v>1511854</v>
      </c>
      <c r="K26" s="37">
        <f>($D$5/DAY(DATE(YEAR(TODAY()),MONTH(TODAY())+1,0)))*(7-COUNTBLANK(C25:I25))</f>
        <v>1400000</v>
      </c>
      <c r="L26" s="37">
        <f>iferror(J26-K26,0)</f>
        <v>111854</v>
      </c>
      <c r="N26" s="50"/>
      <c r="O26" s="50"/>
    </row>
    <row r="27" ht="15.75" customHeight="1">
      <c r="B27" s="41" t="s">
        <v>7</v>
      </c>
      <c r="C27" s="48"/>
      <c r="D27" s="44">
        <v>2.0</v>
      </c>
      <c r="E27" s="44">
        <v>2.0</v>
      </c>
      <c r="F27" s="44">
        <v>2.0</v>
      </c>
      <c r="G27" s="44">
        <v>1.0</v>
      </c>
      <c r="H27" s="44">
        <v>1.0</v>
      </c>
      <c r="I27" s="81">
        <v>3.0</v>
      </c>
      <c r="J27" s="46">
        <f t="shared" ref="J27:J30" si="6">if(sum(C27:I27) =0,"-",sum(C27:I27))</f>
        <v>11</v>
      </c>
      <c r="K27" s="46">
        <f>($F$5/DAY(DATE(YEAR(TODAY()),MONTH(TODAY())+1,0)))*(7-COUNTBLANK(C25:I25))</f>
        <v>7</v>
      </c>
      <c r="L27" s="46">
        <f t="shared" ref="L27:L30" si="7">iferror(J27-K27,"-")</f>
        <v>4</v>
      </c>
      <c r="N27" s="50"/>
      <c r="O27" s="50"/>
    </row>
    <row r="28" ht="15.75" customHeight="1">
      <c r="B28" s="41" t="s">
        <v>8</v>
      </c>
      <c r="C28" s="48"/>
      <c r="D28" s="43"/>
      <c r="E28" s="43"/>
      <c r="F28" s="43"/>
      <c r="G28" s="43"/>
      <c r="H28" s="43"/>
      <c r="I28" s="81">
        <v>1.0</v>
      </c>
      <c r="J28" s="46">
        <f t="shared" si="6"/>
        <v>1</v>
      </c>
      <c r="K28" s="46">
        <f>($H$5/DAY(DATE(YEAR(TODAY()),MONTH(TODAY())+1,0)))*(7-COUNTBLANK(C25:I25))</f>
        <v>1.166666667</v>
      </c>
      <c r="L28" s="46">
        <f t="shared" si="7"/>
        <v>-0.1666666667</v>
      </c>
      <c r="N28" s="50"/>
      <c r="O28" s="50"/>
    </row>
    <row r="29" ht="15.75" customHeight="1">
      <c r="B29" s="51" t="s">
        <v>9</v>
      </c>
      <c r="C29" s="52"/>
      <c r="D29" s="53"/>
      <c r="E29" s="53"/>
      <c r="F29" s="53"/>
      <c r="G29" s="53"/>
      <c r="H29" s="53"/>
      <c r="I29" s="54"/>
      <c r="J29" s="46" t="str">
        <f t="shared" si="6"/>
        <v>-</v>
      </c>
      <c r="K29" s="55">
        <f>($J$5/DAY(DATE(YEAR(TODAY()),MONTH(TODAY())+1,0)))*(7-COUNTBLANK(C25:I25))</f>
        <v>0</v>
      </c>
      <c r="L29" s="46" t="str">
        <f t="shared" si="7"/>
        <v>-</v>
      </c>
      <c r="N29" s="50"/>
      <c r="O29" s="50"/>
      <c r="R29" s="82"/>
    </row>
    <row r="30" ht="15.75" customHeight="1">
      <c r="B30" s="51" t="s">
        <v>10</v>
      </c>
      <c r="C30" s="52"/>
      <c r="D30" s="53"/>
      <c r="E30" s="53"/>
      <c r="F30" s="53"/>
      <c r="G30" s="53"/>
      <c r="H30" s="53"/>
      <c r="I30" s="54"/>
      <c r="J30" s="46" t="str">
        <f t="shared" si="6"/>
        <v>-</v>
      </c>
      <c r="K30" s="55">
        <f>($L$5/DAY(DATE(YEAR(TODAY()),MONTH(TODAY())+1,0)))*(7-COUNTBLANK(C25:I25))</f>
        <v>0</v>
      </c>
      <c r="L30" s="46" t="str">
        <f t="shared" si="7"/>
        <v>-</v>
      </c>
      <c r="N30" s="50"/>
      <c r="O30" s="50"/>
    </row>
    <row r="31" ht="15.75" customHeight="1">
      <c r="B31" s="51"/>
      <c r="C31" s="52"/>
      <c r="D31" s="53"/>
      <c r="E31" s="53"/>
      <c r="F31" s="53"/>
      <c r="G31" s="53"/>
      <c r="H31" s="53"/>
      <c r="I31" s="54"/>
      <c r="J31" s="46"/>
      <c r="K31" s="55"/>
      <c r="L31" s="46"/>
      <c r="N31" s="50"/>
      <c r="O31" s="50"/>
    </row>
    <row r="32" ht="15.75" customHeight="1">
      <c r="B32" s="41" t="s">
        <v>11</v>
      </c>
      <c r="C32" s="52"/>
      <c r="D32" s="53"/>
      <c r="E32" s="53"/>
      <c r="F32" s="58">
        <v>1.0</v>
      </c>
      <c r="G32" s="53"/>
      <c r="H32" s="58">
        <v>1.0</v>
      </c>
      <c r="I32" s="59">
        <v>1.0</v>
      </c>
      <c r="J32" s="46">
        <f t="shared" ref="J32:J34" si="8">if(sum(C32:I32) =0,"-",sum(C32:I32))</f>
        <v>3</v>
      </c>
      <c r="K32" s="55">
        <f>($N$5/DAY(DATE(YEAR(TODAY()),MONTH(TODAY())+1,0)))*(7-COUNTBLANK(C25:I25))</f>
        <v>3.5</v>
      </c>
      <c r="L32" s="46">
        <f t="shared" ref="L32:L35" si="9">iferror(J32-K32,"-")</f>
        <v>-0.5</v>
      </c>
    </row>
    <row r="33" ht="15.75" customHeight="1">
      <c r="B33" s="56" t="s">
        <v>12</v>
      </c>
      <c r="C33" s="52"/>
      <c r="D33" s="58">
        <v>1.0</v>
      </c>
      <c r="E33" s="58">
        <v>1.0</v>
      </c>
      <c r="F33" s="58">
        <v>5.0</v>
      </c>
      <c r="G33" s="58">
        <v>3.0</v>
      </c>
      <c r="H33" s="58">
        <v>2.0</v>
      </c>
      <c r="I33" s="59">
        <v>1.0</v>
      </c>
      <c r="J33" s="46">
        <f t="shared" si="8"/>
        <v>13</v>
      </c>
      <c r="K33" s="55">
        <f>($P$5/DAY(DATE(YEAR(TODAY()),MONTH(TODAY())+1,0)))*(7-COUNTBLANK(C25:I25))</f>
        <v>10.5</v>
      </c>
      <c r="L33" s="46">
        <f t="shared" si="9"/>
        <v>2.5</v>
      </c>
      <c r="M33" s="79"/>
      <c r="N33" s="79"/>
      <c r="O33" s="79"/>
      <c r="P33" s="79"/>
      <c r="Q33" s="79"/>
      <c r="R33" s="79"/>
      <c r="S33" s="79"/>
      <c r="T33" s="79"/>
      <c r="U33" s="79"/>
      <c r="V33" s="79"/>
    </row>
    <row r="34" ht="18.75" customHeight="1">
      <c r="B34" s="56" t="s">
        <v>13</v>
      </c>
      <c r="C34" s="52"/>
      <c r="D34" s="53"/>
      <c r="E34" s="53"/>
      <c r="F34" s="53"/>
      <c r="G34" s="53"/>
      <c r="H34" s="53"/>
      <c r="I34" s="59"/>
      <c r="J34" s="46" t="str">
        <f t="shared" si="8"/>
        <v>-</v>
      </c>
      <c r="K34" s="55">
        <f>($R$5/DAY(DATE(YEAR(TODAY()),MONTH(TODAY())+1,0)))*(7-COUNTBLANK(C25:I25))</f>
        <v>1.166666667</v>
      </c>
      <c r="L34" s="46" t="str">
        <f t="shared" si="9"/>
        <v>-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 ht="18.75" customHeight="1">
      <c r="B35" s="61" t="s">
        <v>14</v>
      </c>
      <c r="C35" s="86"/>
      <c r="D35" s="64">
        <v>3.0</v>
      </c>
      <c r="E35" s="64">
        <v>3.0</v>
      </c>
      <c r="F35" s="64">
        <v>8.0</v>
      </c>
      <c r="G35" s="64">
        <v>4.0</v>
      </c>
      <c r="H35" s="63"/>
      <c r="I35" s="65">
        <v>6.0</v>
      </c>
      <c r="J35" s="66">
        <f>sum(C35:I35)</f>
        <v>24</v>
      </c>
      <c r="K35" s="67">
        <f>sum(K27:K34)</f>
        <v>23.33333333</v>
      </c>
      <c r="L35" s="67">
        <f t="shared" si="9"/>
        <v>0.6666666667</v>
      </c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 ht="18.75" customHeight="1">
      <c r="B36" s="68" t="s">
        <v>15</v>
      </c>
      <c r="C36" s="69"/>
      <c r="D36" s="70"/>
      <c r="E36" s="70"/>
      <c r="F36" s="70"/>
      <c r="G36" s="70"/>
      <c r="H36" s="70"/>
      <c r="I36" s="71"/>
      <c r="J36" s="72">
        <f t="shared" ref="J36:K36" si="10">iferror(J26/J35,0)</f>
        <v>62993.91667</v>
      </c>
      <c r="K36" s="73">
        <f t="shared" si="10"/>
        <v>60000</v>
      </c>
      <c r="L36" s="73">
        <f t="shared" ref="L36:L37" si="11">iferror(J36-K36,0)</f>
        <v>2993.916667</v>
      </c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 ht="18.75" customHeight="1">
      <c r="B37" s="74" t="s">
        <v>33</v>
      </c>
      <c r="C37" s="75"/>
      <c r="D37" s="76"/>
      <c r="E37" s="76"/>
      <c r="F37" s="76"/>
      <c r="G37" s="76"/>
      <c r="H37" s="76"/>
      <c r="I37" s="77"/>
      <c r="J37" s="78"/>
      <c r="K37" s="78"/>
      <c r="L37" s="78">
        <f t="shared" si="11"/>
        <v>0</v>
      </c>
      <c r="M37" s="79"/>
      <c r="N37" s="79"/>
      <c r="O37" s="79"/>
      <c r="P37" s="79"/>
      <c r="Q37" s="79"/>
      <c r="R37" s="79"/>
      <c r="S37" s="79"/>
      <c r="T37" s="79"/>
      <c r="U37" s="79"/>
      <c r="V37" s="79"/>
    </row>
    <row r="38" ht="18.75" customHeight="1">
      <c r="B38" s="21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 ht="18.75" customHeight="1">
      <c r="B39" s="21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0" ht="15.75" customHeight="1">
      <c r="B40" s="21" t="s">
        <v>35</v>
      </c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 ht="15.75" customHeight="1">
      <c r="B41" s="22" t="s">
        <v>19</v>
      </c>
      <c r="C41" s="80">
        <v>14.0</v>
      </c>
      <c r="D41" s="24">
        <v>15.0</v>
      </c>
      <c r="E41" s="24">
        <v>16.0</v>
      </c>
      <c r="F41" s="24">
        <v>17.0</v>
      </c>
      <c r="G41" s="24">
        <v>18.0</v>
      </c>
      <c r="H41" s="24">
        <v>19.0</v>
      </c>
      <c r="I41" s="24">
        <v>20.0</v>
      </c>
      <c r="J41" s="25" t="s">
        <v>20</v>
      </c>
      <c r="K41" s="25" t="s">
        <v>21</v>
      </c>
      <c r="L41" s="25" t="s">
        <v>17</v>
      </c>
    </row>
    <row r="42" ht="15.75" customHeight="1">
      <c r="B42" s="31" t="s">
        <v>6</v>
      </c>
      <c r="C42" s="89"/>
      <c r="D42" s="33"/>
      <c r="E42" s="33"/>
      <c r="F42" s="33"/>
      <c r="G42" s="33"/>
      <c r="H42" s="34">
        <v>378500.0</v>
      </c>
      <c r="I42" s="35">
        <v>473000.0</v>
      </c>
      <c r="J42" s="36">
        <f>sum(C42:I42)</f>
        <v>851500</v>
      </c>
      <c r="K42" s="97">
        <v>500000.0</v>
      </c>
      <c r="L42" s="37">
        <f>iferror(J42-K42,0)</f>
        <v>351500</v>
      </c>
    </row>
    <row r="43" ht="15.75" customHeight="1">
      <c r="B43" s="41" t="s">
        <v>7</v>
      </c>
      <c r="C43" s="48"/>
      <c r="D43" s="43"/>
      <c r="E43" s="43"/>
      <c r="F43" s="43"/>
      <c r="G43" s="43"/>
      <c r="H43" s="44">
        <v>2.0</v>
      </c>
      <c r="I43" s="81">
        <v>1.0</v>
      </c>
      <c r="J43" s="46">
        <f t="shared" ref="J43:J49" si="12">if(sum(C43:I43) =0,"-",sum(C43:I43))</f>
        <v>3</v>
      </c>
      <c r="K43" s="98">
        <v>2.0</v>
      </c>
      <c r="L43" s="46">
        <f t="shared" ref="L43:L50" si="13">iferror(J43-K43,"-")</f>
        <v>1</v>
      </c>
    </row>
    <row r="44" ht="15.75" customHeight="1">
      <c r="B44" s="41" t="s">
        <v>8</v>
      </c>
      <c r="C44" s="48"/>
      <c r="D44" s="43"/>
      <c r="E44" s="43"/>
      <c r="F44" s="43"/>
      <c r="G44" s="43"/>
      <c r="H44" s="43"/>
      <c r="I44" s="45"/>
      <c r="J44" s="46" t="str">
        <f t="shared" si="12"/>
        <v>-</v>
      </c>
      <c r="K44" s="46">
        <f>($H$5/DAY(DATE(YEAR(TODAY()),MONTH(TODAY())+1,0)))*(7-COUNTBLANK(C41:I41))</f>
        <v>1.166666667</v>
      </c>
      <c r="L44" s="46" t="str">
        <f t="shared" si="13"/>
        <v>-</v>
      </c>
    </row>
    <row r="45" ht="15.75" customHeight="1">
      <c r="B45" s="51" t="s">
        <v>9</v>
      </c>
      <c r="C45" s="52"/>
      <c r="D45" s="53"/>
      <c r="E45" s="53"/>
      <c r="F45" s="53"/>
      <c r="G45" s="53"/>
      <c r="H45" s="53"/>
      <c r="I45" s="54"/>
      <c r="J45" s="46" t="str">
        <f t="shared" si="12"/>
        <v>-</v>
      </c>
      <c r="K45" s="55">
        <f>($J$5/DAY(DATE(YEAR(TODAY()),MONTH(TODAY())+1,0)))*(7-COUNTBLANK(C41:I41))</f>
        <v>0</v>
      </c>
      <c r="L45" s="46" t="str">
        <f t="shared" si="13"/>
        <v>-</v>
      </c>
    </row>
    <row r="46" ht="15.75" customHeight="1">
      <c r="B46" s="51" t="s">
        <v>10</v>
      </c>
      <c r="C46" s="52"/>
      <c r="D46" s="53"/>
      <c r="E46" s="53"/>
      <c r="F46" s="53"/>
      <c r="G46" s="53"/>
      <c r="H46" s="53"/>
      <c r="I46" s="54"/>
      <c r="J46" s="46" t="str">
        <f t="shared" si="12"/>
        <v>-</v>
      </c>
      <c r="K46" s="55">
        <f>($L$5/DAY(DATE(YEAR(TODAY()),MONTH(TODAY())+1,0)))*(7-COUNTBLANK(C41:I41))</f>
        <v>0</v>
      </c>
      <c r="L46" s="46" t="str">
        <f t="shared" si="13"/>
        <v>-</v>
      </c>
    </row>
    <row r="47" ht="15.75" customHeight="1">
      <c r="B47" s="41" t="s">
        <v>11</v>
      </c>
      <c r="C47" s="52"/>
      <c r="D47" s="53"/>
      <c r="E47" s="53"/>
      <c r="F47" s="53"/>
      <c r="G47" s="53"/>
      <c r="H47" s="58">
        <v>4.0</v>
      </c>
      <c r="I47" s="59">
        <v>2.0</v>
      </c>
      <c r="J47" s="46">
        <f t="shared" si="12"/>
        <v>6</v>
      </c>
      <c r="K47" s="99">
        <v>2.0</v>
      </c>
      <c r="L47" s="46">
        <f t="shared" si="13"/>
        <v>4</v>
      </c>
    </row>
    <row r="48" ht="15.75" customHeight="1">
      <c r="B48" s="56" t="s">
        <v>12</v>
      </c>
      <c r="C48" s="52"/>
      <c r="D48" s="53"/>
      <c r="E48" s="53"/>
      <c r="F48" s="53"/>
      <c r="G48" s="53"/>
      <c r="H48" s="58">
        <v>4.0</v>
      </c>
      <c r="I48" s="59">
        <v>2.0</v>
      </c>
      <c r="J48" s="46">
        <f t="shared" si="12"/>
        <v>6</v>
      </c>
      <c r="K48" s="99">
        <v>6.0</v>
      </c>
      <c r="L48" s="46">
        <f t="shared" si="13"/>
        <v>0</v>
      </c>
    </row>
    <row r="49" ht="15.75" customHeight="1">
      <c r="B49" s="56" t="s">
        <v>13</v>
      </c>
      <c r="C49" s="52"/>
      <c r="D49" s="53"/>
      <c r="E49" s="53"/>
      <c r="F49" s="53"/>
      <c r="G49" s="53"/>
      <c r="H49" s="53"/>
      <c r="I49" s="54"/>
      <c r="J49" s="46" t="str">
        <f t="shared" si="12"/>
        <v>-</v>
      </c>
      <c r="K49" s="55">
        <f>($R$5/DAY(DATE(YEAR(TODAY()),MONTH(TODAY())+1,0)))*(7-COUNTBLANK(C41:I41))</f>
        <v>1.166666667</v>
      </c>
      <c r="L49" s="46" t="str">
        <f t="shared" si="13"/>
        <v>-</v>
      </c>
    </row>
    <row r="50" ht="15.75" customHeight="1">
      <c r="B50" s="61" t="s">
        <v>14</v>
      </c>
      <c r="C50" s="86"/>
      <c r="D50" s="63"/>
      <c r="E50" s="63"/>
      <c r="F50" s="63"/>
      <c r="G50" s="63"/>
      <c r="H50" s="64">
        <v>10.0</v>
      </c>
      <c r="I50" s="65">
        <v>5.0</v>
      </c>
      <c r="J50" s="66">
        <f>sum(C50:I50)</f>
        <v>15</v>
      </c>
      <c r="K50" s="67">
        <f>sum(K43:K49)</f>
        <v>12.33333333</v>
      </c>
      <c r="L50" s="67">
        <f t="shared" si="13"/>
        <v>2.666666667</v>
      </c>
    </row>
    <row r="51" ht="15.75" customHeight="1">
      <c r="B51" s="68" t="s">
        <v>15</v>
      </c>
      <c r="C51" s="69"/>
      <c r="D51" s="70"/>
      <c r="E51" s="70"/>
      <c r="F51" s="70"/>
      <c r="G51" s="70"/>
      <c r="H51" s="70"/>
      <c r="I51" s="71"/>
      <c r="J51" s="72">
        <f t="shared" ref="J51:K51" si="14">iferror(J42/J50,0)</f>
        <v>56766.66667</v>
      </c>
      <c r="K51" s="73">
        <f t="shared" si="14"/>
        <v>40540.54054</v>
      </c>
      <c r="L51" s="73">
        <f t="shared" ref="L51:L52" si="15">iferror(J51-K51,0)</f>
        <v>16226.12613</v>
      </c>
    </row>
    <row r="52" ht="15.75" customHeight="1">
      <c r="B52" s="74" t="s">
        <v>33</v>
      </c>
      <c r="C52" s="75"/>
      <c r="D52" s="76"/>
      <c r="E52" s="76"/>
      <c r="F52" s="76"/>
      <c r="G52" s="76"/>
      <c r="H52" s="76"/>
      <c r="I52" s="77"/>
      <c r="J52" s="78"/>
      <c r="K52" s="78"/>
      <c r="L52" s="78">
        <f t="shared" si="15"/>
        <v>0</v>
      </c>
    </row>
    <row r="53" ht="15.75" customHeight="1"/>
    <row r="54" ht="15.75" customHeight="1"/>
    <row r="55" ht="15.75" customHeight="1">
      <c r="B55" s="21" t="s">
        <v>36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 ht="15.75" customHeight="1">
      <c r="B56" s="22" t="s">
        <v>19</v>
      </c>
      <c r="C56" s="80">
        <v>21.0</v>
      </c>
      <c r="D56" s="24">
        <v>22.0</v>
      </c>
      <c r="E56" s="24">
        <v>23.0</v>
      </c>
      <c r="F56" s="24">
        <v>24.0</v>
      </c>
      <c r="G56" s="24">
        <v>25.0</v>
      </c>
      <c r="H56" s="24">
        <v>26.0</v>
      </c>
      <c r="I56" s="24">
        <v>27.0</v>
      </c>
      <c r="J56" s="25" t="s">
        <v>20</v>
      </c>
      <c r="K56" s="25" t="s">
        <v>21</v>
      </c>
      <c r="L56" s="25" t="s">
        <v>17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 ht="15.75" customHeight="1">
      <c r="B57" s="31" t="s">
        <v>6</v>
      </c>
      <c r="C57" s="89"/>
      <c r="D57" s="34">
        <v>358550.0</v>
      </c>
      <c r="E57" s="34">
        <v>223000.0</v>
      </c>
      <c r="F57" s="34">
        <v>414170.0</v>
      </c>
      <c r="G57" s="34">
        <v>304300.0</v>
      </c>
      <c r="H57" s="34">
        <v>235405.0</v>
      </c>
      <c r="I57" s="35">
        <v>334000.0</v>
      </c>
      <c r="J57" s="36">
        <f>sum(C57:I57)</f>
        <v>1869425</v>
      </c>
      <c r="K57" s="97">
        <v>1020000.0</v>
      </c>
      <c r="L57" s="37">
        <f>iferror(J57-K57,0)</f>
        <v>849425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 ht="15.75" customHeight="1">
      <c r="B58" s="41" t="s">
        <v>7</v>
      </c>
      <c r="C58" s="48"/>
      <c r="D58" s="44">
        <v>1.0</v>
      </c>
      <c r="E58" s="44">
        <v>2.0</v>
      </c>
      <c r="F58" s="44">
        <v>3.0</v>
      </c>
      <c r="G58" s="43"/>
      <c r="H58" s="44">
        <v>1.0</v>
      </c>
      <c r="I58" s="81">
        <v>4.0</v>
      </c>
      <c r="J58" s="46">
        <f t="shared" ref="J58:J64" si="16">if(sum(C58:I58) =0,"-",sum(C58:I58))</f>
        <v>11</v>
      </c>
      <c r="K58" s="46">
        <f>($F$5/DAY(DATE(YEAR(TODAY()),MONTH(TODAY())+1,0)))*(7-COUNTBLANK(C56:I56))</f>
        <v>7</v>
      </c>
      <c r="L58" s="46">
        <f t="shared" ref="L58:L65" si="17">iferror(J58-K58,"-")</f>
        <v>4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 ht="15.75" customHeight="1">
      <c r="B59" s="41" t="s">
        <v>8</v>
      </c>
      <c r="C59" s="48"/>
      <c r="D59" s="44">
        <v>1.0</v>
      </c>
      <c r="E59" s="43"/>
      <c r="F59" s="44">
        <v>1.0</v>
      </c>
      <c r="G59" s="43"/>
      <c r="H59" s="44">
        <v>1.0</v>
      </c>
      <c r="I59" s="45"/>
      <c r="J59" s="46">
        <f t="shared" si="16"/>
        <v>3</v>
      </c>
      <c r="K59" s="46">
        <f>($H$5/DAY(DATE(YEAR(TODAY()),MONTH(TODAY())+1,0)))*(7-COUNTBLANK(C56:I56))</f>
        <v>1.166666667</v>
      </c>
      <c r="L59" s="46">
        <f t="shared" si="17"/>
        <v>1.833333333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 ht="15.75" customHeight="1">
      <c r="B60" s="51" t="s">
        <v>9</v>
      </c>
      <c r="C60" s="52"/>
      <c r="D60" s="53"/>
      <c r="E60" s="53"/>
      <c r="F60" s="53"/>
      <c r="G60" s="53"/>
      <c r="H60" s="53"/>
      <c r="I60" s="54"/>
      <c r="J60" s="46" t="str">
        <f t="shared" si="16"/>
        <v>-</v>
      </c>
      <c r="K60" s="55">
        <f>($J$5/DAY(DATE(YEAR(TODAY()),MONTH(TODAY())+1,0)))*(7-COUNTBLANK(C56:I56))</f>
        <v>0</v>
      </c>
      <c r="L60" s="46" t="str">
        <f t="shared" si="17"/>
        <v>-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 ht="15.75" customHeight="1">
      <c r="B61" s="51" t="s">
        <v>10</v>
      </c>
      <c r="C61" s="52"/>
      <c r="D61" s="53"/>
      <c r="E61" s="53"/>
      <c r="F61" s="53"/>
      <c r="G61" s="53"/>
      <c r="H61" s="53"/>
      <c r="I61" s="54"/>
      <c r="J61" s="46" t="str">
        <f t="shared" si="16"/>
        <v>-</v>
      </c>
      <c r="K61" s="55">
        <f>($L$5/DAY(DATE(YEAR(TODAY()),MONTH(TODAY())+1,0)))*(7-COUNTBLANK(C56:I56))</f>
        <v>0</v>
      </c>
      <c r="L61" s="46" t="str">
        <f t="shared" si="17"/>
        <v>-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 ht="15.75" customHeight="1">
      <c r="B62" s="41" t="s">
        <v>11</v>
      </c>
      <c r="C62" s="52"/>
      <c r="D62" s="53"/>
      <c r="E62" s="58">
        <v>1.0</v>
      </c>
      <c r="F62" s="58">
        <v>1.0</v>
      </c>
      <c r="G62" s="58">
        <v>2.0</v>
      </c>
      <c r="H62" s="53"/>
      <c r="I62" s="59">
        <v>1.0</v>
      </c>
      <c r="J62" s="46">
        <f t="shared" si="16"/>
        <v>5</v>
      </c>
      <c r="K62" s="55">
        <f>($N$5/DAY(DATE(YEAR(TODAY()),MONTH(TODAY())+1,0)))*(7-COUNTBLANK(C56:I56))</f>
        <v>3.5</v>
      </c>
      <c r="L62" s="46">
        <f t="shared" si="17"/>
        <v>1.5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 ht="15.75" customHeight="1">
      <c r="B63" s="56" t="s">
        <v>12</v>
      </c>
      <c r="C63" s="52"/>
      <c r="D63" s="58">
        <v>3.0</v>
      </c>
      <c r="E63" s="58">
        <v>2.0</v>
      </c>
      <c r="F63" s="58">
        <v>1.0</v>
      </c>
      <c r="G63" s="58">
        <v>4.0</v>
      </c>
      <c r="H63" s="58">
        <v>3.0</v>
      </c>
      <c r="I63" s="59">
        <v>2.0</v>
      </c>
      <c r="J63" s="46">
        <f t="shared" si="16"/>
        <v>15</v>
      </c>
      <c r="K63" s="55">
        <f>($P$5/DAY(DATE(YEAR(TODAY()),MONTH(TODAY())+1,0)))*(7-COUNTBLANK(C56:I56))</f>
        <v>10.5</v>
      </c>
      <c r="L63" s="46">
        <f t="shared" si="17"/>
        <v>4.5</v>
      </c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 ht="15.75" customHeight="1">
      <c r="B64" s="56" t="s">
        <v>13</v>
      </c>
      <c r="C64" s="52"/>
      <c r="D64" s="58">
        <v>1.0</v>
      </c>
      <c r="E64" s="58"/>
      <c r="F64" s="53"/>
      <c r="G64" s="53"/>
      <c r="H64" s="58"/>
      <c r="I64" s="59"/>
      <c r="J64" s="46">
        <f t="shared" si="16"/>
        <v>1</v>
      </c>
      <c r="K64" s="55">
        <f>($R$5/DAY(DATE(YEAR(TODAY()),MONTH(TODAY())+1,0)))*(7-COUNTBLANK(C56:I56))</f>
        <v>1.166666667</v>
      </c>
      <c r="L64" s="46">
        <f t="shared" si="17"/>
        <v>-0.1666666667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 ht="15.75" customHeight="1">
      <c r="B65" s="61" t="s">
        <v>14</v>
      </c>
      <c r="C65" s="86"/>
      <c r="D65" s="64">
        <v>6.0</v>
      </c>
      <c r="E65" s="64">
        <v>5.0</v>
      </c>
      <c r="F65" s="64">
        <v>6.0</v>
      </c>
      <c r="G65" s="64">
        <v>6.0</v>
      </c>
      <c r="H65" s="64">
        <v>5.0</v>
      </c>
      <c r="I65" s="65">
        <v>7.0</v>
      </c>
      <c r="J65" s="66">
        <f>sum(C65:I65)</f>
        <v>35</v>
      </c>
      <c r="K65" s="67">
        <f>sum(K58:K64)</f>
        <v>23.33333333</v>
      </c>
      <c r="L65" s="67">
        <f t="shared" si="17"/>
        <v>11.66666667</v>
      </c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 ht="15.75" customHeight="1">
      <c r="B66" s="68" t="s">
        <v>15</v>
      </c>
      <c r="C66" s="69"/>
      <c r="D66" s="70"/>
      <c r="E66" s="70"/>
      <c r="F66" s="70"/>
      <c r="G66" s="70"/>
      <c r="H66" s="70"/>
      <c r="I66" s="71"/>
      <c r="J66" s="72">
        <f t="shared" ref="J66:K66" si="18">iferror(J57/J65,0)</f>
        <v>53412.14286</v>
      </c>
      <c r="K66" s="73">
        <f t="shared" si="18"/>
        <v>43714.28571</v>
      </c>
      <c r="L66" s="73">
        <f t="shared" ref="L66:L67" si="19">iferror(J66-K66,0)</f>
        <v>9697.857143</v>
      </c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 ht="15.75" customHeight="1">
      <c r="B67" s="74" t="s">
        <v>33</v>
      </c>
      <c r="C67" s="75"/>
      <c r="D67" s="76"/>
      <c r="E67" s="76"/>
      <c r="F67" s="76"/>
      <c r="G67" s="76"/>
      <c r="H67" s="76"/>
      <c r="I67" s="77"/>
      <c r="J67" s="78"/>
      <c r="K67" s="78"/>
      <c r="L67" s="78">
        <f t="shared" si="19"/>
        <v>0</v>
      </c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 ht="15.75" customHeight="1">
      <c r="B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 ht="15.75" customHeight="1">
      <c r="B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 ht="15.75" customHeight="1">
      <c r="B70" s="21" t="s">
        <v>37</v>
      </c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 ht="15.75" customHeight="1">
      <c r="B71" s="22" t="s">
        <v>19</v>
      </c>
      <c r="C71" s="80">
        <v>28.0</v>
      </c>
      <c r="D71" s="24">
        <v>29.0</v>
      </c>
      <c r="E71" s="24">
        <v>30.0</v>
      </c>
      <c r="F71" s="84"/>
      <c r="G71" s="84"/>
      <c r="H71" s="84"/>
      <c r="I71" s="84"/>
      <c r="J71" s="25" t="s">
        <v>20</v>
      </c>
      <c r="K71" s="25" t="s">
        <v>21</v>
      </c>
      <c r="L71" s="25" t="s">
        <v>17</v>
      </c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 ht="15.75" customHeight="1">
      <c r="B72" s="31" t="s">
        <v>6</v>
      </c>
      <c r="C72" s="89"/>
      <c r="D72" s="34">
        <v>202750.0</v>
      </c>
      <c r="E72" s="34">
        <v>285000.0</v>
      </c>
      <c r="F72" s="33"/>
      <c r="G72" s="33"/>
      <c r="H72" s="33"/>
      <c r="I72" s="85"/>
      <c r="J72" s="36">
        <f>sum(C72:I72)</f>
        <v>487750</v>
      </c>
      <c r="K72" s="97">
        <v>340000.0</v>
      </c>
      <c r="L72" s="37">
        <f>iferror(J72-K72,0)</f>
        <v>147750</v>
      </c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 ht="15.75" customHeight="1">
      <c r="B73" s="41" t="s">
        <v>7</v>
      </c>
      <c r="C73" s="48"/>
      <c r="D73" s="44">
        <v>1.0</v>
      </c>
      <c r="E73" s="44">
        <v>2.0</v>
      </c>
      <c r="F73" s="43"/>
      <c r="G73" s="43"/>
      <c r="H73" s="43"/>
      <c r="I73" s="45"/>
      <c r="J73" s="46">
        <f t="shared" ref="J73:J79" si="20">if(sum(C73:I73) =0,"-",sum(C73:I73))</f>
        <v>3</v>
      </c>
      <c r="K73" s="46">
        <f>($F$5/DAY(DATE(YEAR(TODAY()),MONTH(TODAY())+1,0)))*(7-COUNTBLANK(C71:I71))</f>
        <v>3</v>
      </c>
      <c r="L73" s="46">
        <f t="shared" ref="L73:L80" si="21">iferror(J73-K73,"-")</f>
        <v>0</v>
      </c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 ht="15.75" customHeight="1">
      <c r="B74" s="41" t="s">
        <v>8</v>
      </c>
      <c r="C74" s="48"/>
      <c r="D74" s="43"/>
      <c r="E74" s="43"/>
      <c r="F74" s="43"/>
      <c r="G74" s="43"/>
      <c r="H74" s="43"/>
      <c r="I74" s="45"/>
      <c r="J74" s="46" t="str">
        <f t="shared" si="20"/>
        <v>-</v>
      </c>
      <c r="K74" s="46">
        <f>($H$5/DAY(DATE(YEAR(TODAY()),MONTH(TODAY())+1,0)))*(7-COUNTBLANK(C71:I71))</f>
        <v>0.5</v>
      </c>
      <c r="L74" s="46" t="str">
        <f t="shared" si="21"/>
        <v>-</v>
      </c>
    </row>
    <row r="75" ht="15.75" customHeight="1">
      <c r="B75" s="51" t="s">
        <v>9</v>
      </c>
      <c r="C75" s="52"/>
      <c r="D75" s="53"/>
      <c r="E75" s="53"/>
      <c r="F75" s="53"/>
      <c r="G75" s="53"/>
      <c r="H75" s="53"/>
      <c r="I75" s="54"/>
      <c r="J75" s="46" t="str">
        <f t="shared" si="20"/>
        <v>-</v>
      </c>
      <c r="K75" s="55">
        <f>($J$5/DAY(DATE(YEAR(TODAY()),MONTH(TODAY())+1,0)))*(7-COUNTBLANK(C71:I71))</f>
        <v>0</v>
      </c>
      <c r="L75" s="46" t="str">
        <f t="shared" si="21"/>
        <v>-</v>
      </c>
    </row>
    <row r="76" ht="15.75" customHeight="1">
      <c r="B76" s="51" t="s">
        <v>10</v>
      </c>
      <c r="C76" s="52"/>
      <c r="D76" s="53"/>
      <c r="E76" s="53"/>
      <c r="F76" s="53"/>
      <c r="G76" s="53"/>
      <c r="H76" s="53"/>
      <c r="I76" s="54"/>
      <c r="J76" s="46" t="str">
        <f t="shared" si="20"/>
        <v>-</v>
      </c>
      <c r="K76" s="55">
        <f>($L$5/DAY(DATE(YEAR(TODAY()),MONTH(TODAY())+1,0)))*(7-COUNTBLANK(C71:I71))</f>
        <v>0</v>
      </c>
      <c r="L76" s="46" t="str">
        <f t="shared" si="21"/>
        <v>-</v>
      </c>
    </row>
    <row r="77" ht="15.75" customHeight="1">
      <c r="B77" s="41" t="s">
        <v>11</v>
      </c>
      <c r="C77" s="52"/>
      <c r="D77" s="58">
        <v>1.0</v>
      </c>
      <c r="E77" s="53"/>
      <c r="F77" s="53"/>
      <c r="G77" s="53"/>
      <c r="H77" s="53"/>
      <c r="I77" s="54"/>
      <c r="J77" s="46">
        <f t="shared" si="20"/>
        <v>1</v>
      </c>
      <c r="K77" s="55">
        <f>($N$5/DAY(DATE(YEAR(TODAY()),MONTH(TODAY())+1,0)))*(7-COUNTBLANK(C71:I71))</f>
        <v>1.5</v>
      </c>
      <c r="L77" s="46">
        <f t="shared" si="21"/>
        <v>-0.5</v>
      </c>
    </row>
    <row r="78" ht="15.75" customHeight="1">
      <c r="B78" s="56" t="s">
        <v>12</v>
      </c>
      <c r="C78" s="52"/>
      <c r="D78" s="58">
        <v>5.0</v>
      </c>
      <c r="E78" s="58">
        <v>2.0</v>
      </c>
      <c r="F78" s="53"/>
      <c r="G78" s="53"/>
      <c r="H78" s="53"/>
      <c r="I78" s="54"/>
      <c r="J78" s="46">
        <f t="shared" si="20"/>
        <v>7</v>
      </c>
      <c r="K78" s="55">
        <f>($P$5/DAY(DATE(YEAR(TODAY()),MONTH(TODAY())+1,0)))*(7-COUNTBLANK(C71:I71))</f>
        <v>4.5</v>
      </c>
      <c r="L78" s="46">
        <f t="shared" si="21"/>
        <v>2.5</v>
      </c>
    </row>
    <row r="79" ht="15.75" customHeight="1">
      <c r="B79" s="56" t="s">
        <v>13</v>
      </c>
      <c r="C79" s="52"/>
      <c r="D79" s="53"/>
      <c r="E79" s="58">
        <v>1.0</v>
      </c>
      <c r="F79" s="53"/>
      <c r="G79" s="53"/>
      <c r="H79" s="53"/>
      <c r="I79" s="54"/>
      <c r="J79" s="46">
        <f t="shared" si="20"/>
        <v>1</v>
      </c>
      <c r="K79" s="55">
        <f>($R$5/DAY(DATE(YEAR(TODAY()),MONTH(TODAY())+1,0)))*(7-COUNTBLANK(C71:I71))</f>
        <v>0.5</v>
      </c>
      <c r="L79" s="46">
        <f t="shared" si="21"/>
        <v>0.5</v>
      </c>
    </row>
    <row r="80" ht="15.75" customHeight="1">
      <c r="B80" s="61" t="s">
        <v>14</v>
      </c>
      <c r="C80" s="86">
        <f t="shared" ref="C80:I80" si="22">sum(C73:C79)</f>
        <v>0</v>
      </c>
      <c r="D80" s="63">
        <f t="shared" si="22"/>
        <v>7</v>
      </c>
      <c r="E80" s="63">
        <f t="shared" si="22"/>
        <v>5</v>
      </c>
      <c r="F80" s="63">
        <f t="shared" si="22"/>
        <v>0</v>
      </c>
      <c r="G80" s="63">
        <f t="shared" si="22"/>
        <v>0</v>
      </c>
      <c r="H80" s="63">
        <f t="shared" si="22"/>
        <v>0</v>
      </c>
      <c r="I80" s="83">
        <f t="shared" si="22"/>
        <v>0</v>
      </c>
      <c r="J80" s="66">
        <f>sum(C80:I80)</f>
        <v>12</v>
      </c>
      <c r="K80" s="67">
        <f>sum(K73:K79)</f>
        <v>10</v>
      </c>
      <c r="L80" s="67">
        <f t="shared" si="21"/>
        <v>2</v>
      </c>
    </row>
    <row r="81" ht="15.75" customHeight="1">
      <c r="B81" s="68" t="s">
        <v>15</v>
      </c>
      <c r="C81" s="69">
        <f t="shared" ref="C81:K81" si="23">iferror(C72/C80,0)</f>
        <v>0</v>
      </c>
      <c r="D81" s="70">
        <f t="shared" si="23"/>
        <v>28964.28571</v>
      </c>
      <c r="E81" s="70">
        <f t="shared" si="23"/>
        <v>57000</v>
      </c>
      <c r="F81" s="70">
        <f t="shared" si="23"/>
        <v>0</v>
      </c>
      <c r="G81" s="70">
        <f t="shared" si="23"/>
        <v>0</v>
      </c>
      <c r="H81" s="70">
        <f t="shared" si="23"/>
        <v>0</v>
      </c>
      <c r="I81" s="71">
        <f t="shared" si="23"/>
        <v>0</v>
      </c>
      <c r="J81" s="72">
        <f t="shared" si="23"/>
        <v>40645.83333</v>
      </c>
      <c r="K81" s="73">
        <f t="shared" si="23"/>
        <v>34000</v>
      </c>
      <c r="L81" s="73">
        <f t="shared" ref="L81:L82" si="24">iferror(J81-K81,0)</f>
        <v>6645.833333</v>
      </c>
    </row>
    <row r="82" ht="15.75" customHeight="1">
      <c r="B82" s="74" t="s">
        <v>33</v>
      </c>
      <c r="C82" s="75"/>
      <c r="D82" s="76"/>
      <c r="E82" s="76"/>
      <c r="F82" s="76"/>
      <c r="G82" s="76"/>
      <c r="H82" s="76"/>
      <c r="I82" s="77"/>
      <c r="J82" s="78"/>
      <c r="K82" s="78"/>
      <c r="L82" s="78">
        <f t="shared" si="24"/>
        <v>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V2"/>
    <mergeCell ref="E4:G4"/>
    <mergeCell ref="J4:L4"/>
    <mergeCell ref="U4:V4"/>
  </mergeCells>
  <conditionalFormatting sqref="L11:L21 L26:L37 L42:L52 L57:L67 L72:L82">
    <cfRule type="cellIs" dxfId="0" priority="1" operator="greaterThan">
      <formula>0</formula>
    </cfRule>
  </conditionalFormatting>
  <conditionalFormatting sqref="L11:L21 L26:L37 L42:L52 L57:L67 L72:L82">
    <cfRule type="cellIs" dxfId="1" priority="2" operator="lessThan">
      <formula>0</formula>
    </cfRule>
  </conditionalFormatting>
  <conditionalFormatting sqref="D7 F7 H7 J7 L7 N7 P7 R7 T7 V7">
    <cfRule type="cellIs" dxfId="1" priority="3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87" t="s">
        <v>38</v>
      </c>
      <c r="C4" s="3">
        <v>5.0</v>
      </c>
      <c r="D4" s="4"/>
      <c r="E4" s="4" t="s">
        <v>1</v>
      </c>
      <c r="H4" s="4"/>
      <c r="I4" s="4" t="s">
        <v>2</v>
      </c>
      <c r="J4" s="4" t="s">
        <v>3</v>
      </c>
      <c r="M4" s="5"/>
      <c r="N4" s="5"/>
      <c r="O4" s="5"/>
      <c r="P4" s="5"/>
      <c r="Q4" s="5"/>
      <c r="R4" s="5"/>
      <c r="S4" s="5"/>
      <c r="T4" s="5"/>
      <c r="U4" s="5" t="s">
        <v>4</v>
      </c>
    </row>
    <row r="5" ht="15.75" customHeight="1">
      <c r="B5" s="6" t="s">
        <v>5</v>
      </c>
      <c r="C5" s="7" t="s">
        <v>6</v>
      </c>
      <c r="D5" s="8">
        <v>4500000.0</v>
      </c>
      <c r="E5" s="7" t="s">
        <v>7</v>
      </c>
      <c r="F5" s="9">
        <v>35.0</v>
      </c>
      <c r="G5" s="7" t="s">
        <v>8</v>
      </c>
      <c r="H5" s="9">
        <v>5.0</v>
      </c>
      <c r="I5" s="7" t="s">
        <v>9</v>
      </c>
      <c r="J5" s="10"/>
      <c r="K5" s="7" t="s">
        <v>10</v>
      </c>
      <c r="L5" s="10">
        <v>0.0</v>
      </c>
      <c r="M5" s="7" t="s">
        <v>11</v>
      </c>
      <c r="N5" s="9">
        <v>5.0</v>
      </c>
      <c r="O5" s="7" t="s">
        <v>12</v>
      </c>
      <c r="P5" s="9">
        <v>45.0</v>
      </c>
      <c r="Q5" s="7" t="s">
        <v>13</v>
      </c>
      <c r="R5" s="9">
        <v>5.0</v>
      </c>
      <c r="S5" s="7" t="s">
        <v>14</v>
      </c>
      <c r="T5" s="10">
        <f t="shared" ref="T5:T6" si="1">SUM(E5:R5)</f>
        <v>95</v>
      </c>
      <c r="U5" s="7" t="s">
        <v>15</v>
      </c>
      <c r="V5" s="11">
        <f>iferror(D5/T5,"-")</f>
        <v>47368.42105</v>
      </c>
    </row>
    <row r="6" ht="15.75" customHeight="1">
      <c r="B6" s="12" t="s">
        <v>16</v>
      </c>
      <c r="C6" s="13" t="s">
        <v>6</v>
      </c>
      <c r="D6" s="14">
        <v>4183217.0</v>
      </c>
      <c r="E6" s="13" t="s">
        <v>7</v>
      </c>
      <c r="F6" s="14">
        <v>34.0</v>
      </c>
      <c r="G6" s="13" t="s">
        <v>8</v>
      </c>
      <c r="H6" s="14">
        <v>3.0</v>
      </c>
      <c r="I6" s="13" t="s">
        <v>9</v>
      </c>
      <c r="J6" s="15">
        <f>IFERROR(__xludf.DUMMYFUNCTION("SUM(FILTER($J10:$J1025,$B10:$B1025=I6))"),0.0)</f>
        <v>0</v>
      </c>
      <c r="K6" s="13" t="s">
        <v>10</v>
      </c>
      <c r="L6" s="15">
        <f>IFERROR(__xludf.DUMMYFUNCTION("SUM(FILTER($J10:$J1025,$B10:$B1025=K6))"),0.0)</f>
        <v>0</v>
      </c>
      <c r="M6" s="13" t="s">
        <v>11</v>
      </c>
      <c r="N6" s="14">
        <v>10.0</v>
      </c>
      <c r="O6" s="13" t="s">
        <v>12</v>
      </c>
      <c r="P6" s="14">
        <v>45.0</v>
      </c>
      <c r="Q6" s="13" t="s">
        <v>13</v>
      </c>
      <c r="R6" s="14">
        <v>4.0</v>
      </c>
      <c r="S6" s="13" t="s">
        <v>14</v>
      </c>
      <c r="T6" s="15">
        <f t="shared" si="1"/>
        <v>96</v>
      </c>
      <c r="U6" s="13" t="s">
        <v>15</v>
      </c>
      <c r="V6" s="16">
        <f>iferror(D6/T6,0)</f>
        <v>43575.17708</v>
      </c>
    </row>
    <row r="7" ht="15.75" customHeight="1">
      <c r="B7" s="17" t="s">
        <v>17</v>
      </c>
      <c r="C7" s="18" t="s">
        <v>6</v>
      </c>
      <c r="D7" s="19">
        <f>D6-D5</f>
        <v>-316783</v>
      </c>
      <c r="E7" s="18" t="s">
        <v>7</v>
      </c>
      <c r="F7" s="19">
        <f>F6-F5</f>
        <v>-1</v>
      </c>
      <c r="G7" s="18" t="s">
        <v>8</v>
      </c>
      <c r="H7" s="19">
        <f>H6-H5</f>
        <v>-2</v>
      </c>
      <c r="I7" s="18" t="s">
        <v>9</v>
      </c>
      <c r="J7" s="19">
        <f>J6-J5</f>
        <v>0</v>
      </c>
      <c r="K7" s="18" t="s">
        <v>10</v>
      </c>
      <c r="L7" s="19">
        <f>L6-L5</f>
        <v>0</v>
      </c>
      <c r="M7" s="18" t="s">
        <v>11</v>
      </c>
      <c r="N7" s="19">
        <f>N6-N5</f>
        <v>5</v>
      </c>
      <c r="O7" s="18" t="s">
        <v>12</v>
      </c>
      <c r="P7" s="19">
        <f>P6-P5</f>
        <v>0</v>
      </c>
      <c r="Q7" s="18" t="s">
        <v>13</v>
      </c>
      <c r="R7" s="19">
        <f>R6-R5</f>
        <v>-1</v>
      </c>
      <c r="S7" s="18" t="s">
        <v>14</v>
      </c>
      <c r="T7" s="19">
        <f>T6-T5</f>
        <v>1</v>
      </c>
      <c r="U7" s="18" t="s">
        <v>15</v>
      </c>
      <c r="V7" s="20">
        <f>V6-V5</f>
        <v>-3793.243969</v>
      </c>
    </row>
    <row r="8" ht="17.25" customHeight="1"/>
    <row r="9" ht="15.75" customHeight="1">
      <c r="B9" s="21" t="s">
        <v>18</v>
      </c>
    </row>
    <row r="10" ht="15.75" customHeight="1">
      <c r="B10" s="22" t="s">
        <v>19</v>
      </c>
      <c r="C10" s="23"/>
      <c r="D10" s="24"/>
      <c r="E10" s="84"/>
      <c r="F10" s="84"/>
      <c r="G10" s="84"/>
      <c r="H10" s="24"/>
      <c r="I10" s="24" t="s">
        <v>39</v>
      </c>
      <c r="J10" s="25" t="s">
        <v>20</v>
      </c>
      <c r="K10" s="25" t="s">
        <v>21</v>
      </c>
      <c r="L10" s="25" t="s">
        <v>17</v>
      </c>
      <c r="N10" s="26" t="s">
        <v>22</v>
      </c>
      <c r="O10" s="27">
        <f>SUM(O11:O31)</f>
        <v>64000</v>
      </c>
      <c r="Q10" s="28"/>
      <c r="R10" s="29"/>
      <c r="S10" s="30" t="s">
        <v>6</v>
      </c>
      <c r="T10" s="30" t="s">
        <v>12</v>
      </c>
      <c r="U10" s="30" t="s">
        <v>7</v>
      </c>
    </row>
    <row r="11" ht="15.75" customHeight="1">
      <c r="B11" s="31" t="s">
        <v>6</v>
      </c>
      <c r="C11" s="89"/>
      <c r="D11" s="33"/>
      <c r="E11" s="33"/>
      <c r="F11" s="33"/>
      <c r="G11" s="33"/>
      <c r="H11" s="33"/>
      <c r="I11" s="35">
        <v>210000.0</v>
      </c>
      <c r="J11" s="36">
        <f>sum(C11:I11)</f>
        <v>210000</v>
      </c>
      <c r="K11" s="37">
        <f>($D$5/DAY(DATE(YEAR(TODAY()),MONTH(TODAY())+1,0)))*(7-COUNTBLANK(C10:I10))</f>
        <v>150000</v>
      </c>
      <c r="L11" s="37">
        <f>iferror(J11-K11,0)</f>
        <v>60000</v>
      </c>
      <c r="N11" s="100">
        <v>44330.0</v>
      </c>
      <c r="O11" s="91">
        <v>32000.0</v>
      </c>
      <c r="Q11" s="28"/>
      <c r="R11" s="92" t="s">
        <v>40</v>
      </c>
      <c r="S11" s="93">
        <v>4183217.0</v>
      </c>
      <c r="T11" s="93">
        <v>45.0</v>
      </c>
      <c r="U11" s="93">
        <v>34.0</v>
      </c>
    </row>
    <row r="12" ht="15.75" customHeight="1">
      <c r="B12" s="41" t="s">
        <v>7</v>
      </c>
      <c r="C12" s="48"/>
      <c r="D12" s="43"/>
      <c r="E12" s="43"/>
      <c r="F12" s="43"/>
      <c r="G12" s="43"/>
      <c r="H12" s="43"/>
      <c r="I12" s="81">
        <v>2.0</v>
      </c>
      <c r="J12" s="46">
        <f t="shared" ref="J12:J18" si="2">if(sum(C12:I12) =0,"-",sum(C12:I12))</f>
        <v>2</v>
      </c>
      <c r="K12" s="46">
        <f>($F$5/DAY(DATE(YEAR(TODAY()),MONTH(TODAY())+1,0)))*(7-COUNTBLANK(C10:I10))</f>
        <v>1.166666667</v>
      </c>
      <c r="L12" s="46">
        <f t="shared" ref="L12:L19" si="3">iferror(J12-K12,"-")</f>
        <v>0.8333333333</v>
      </c>
      <c r="N12" s="101">
        <v>44342.0</v>
      </c>
      <c r="O12" s="95">
        <v>32000.0</v>
      </c>
      <c r="R12" s="92" t="s">
        <v>41</v>
      </c>
      <c r="S12" s="93">
        <v>3301468.0</v>
      </c>
      <c r="T12" s="93">
        <v>51.0</v>
      </c>
      <c r="U12" s="93">
        <v>32.0</v>
      </c>
    </row>
    <row r="13" ht="15.75" customHeight="1">
      <c r="B13" s="41" t="s">
        <v>8</v>
      </c>
      <c r="C13" s="48"/>
      <c r="D13" s="43"/>
      <c r="E13" s="43"/>
      <c r="F13" s="43"/>
      <c r="G13" s="43"/>
      <c r="H13" s="43"/>
      <c r="I13" s="45"/>
      <c r="J13" s="46" t="str">
        <f t="shared" si="2"/>
        <v>-</v>
      </c>
      <c r="K13" s="46">
        <f>($H$5/DAY(DATE(YEAR(TODAY()),MONTH(TODAY())+1,0)))*(7-COUNTBLANK(C10:I10))</f>
        <v>0.1666666667</v>
      </c>
      <c r="L13" s="46" t="str">
        <f t="shared" si="3"/>
        <v>-</v>
      </c>
      <c r="N13" s="49"/>
      <c r="O13" s="47"/>
      <c r="R13" s="96" t="s">
        <v>42</v>
      </c>
      <c r="S13" s="93">
        <v>2315340.0</v>
      </c>
      <c r="T13" s="93">
        <v>17.0</v>
      </c>
      <c r="U13" s="93">
        <v>38.0</v>
      </c>
    </row>
    <row r="14" ht="15.75" customHeight="1">
      <c r="B14" s="51" t="s">
        <v>9</v>
      </c>
      <c r="C14" s="52"/>
      <c r="D14" s="53"/>
      <c r="E14" s="53"/>
      <c r="F14" s="53"/>
      <c r="G14" s="53"/>
      <c r="H14" s="53"/>
      <c r="I14" s="54"/>
      <c r="J14" s="46" t="str">
        <f t="shared" si="2"/>
        <v>-</v>
      </c>
      <c r="K14" s="55">
        <f>($J$5/DAY(DATE(YEAR(TODAY()),MONTH(TODAY())+1,0)))*(7-COUNTBLANK(C10:I10))</f>
        <v>0</v>
      </c>
      <c r="L14" s="46" t="str">
        <f t="shared" si="3"/>
        <v>-</v>
      </c>
      <c r="N14" s="13"/>
      <c r="O14" s="47"/>
      <c r="R14" s="50"/>
      <c r="S14" s="96"/>
      <c r="T14" s="96"/>
      <c r="U14" s="96"/>
    </row>
    <row r="15" ht="15.75" customHeight="1">
      <c r="B15" s="51" t="s">
        <v>10</v>
      </c>
      <c r="C15" s="52"/>
      <c r="D15" s="53"/>
      <c r="E15" s="53"/>
      <c r="F15" s="53"/>
      <c r="G15" s="53"/>
      <c r="H15" s="53"/>
      <c r="I15" s="54"/>
      <c r="J15" s="46" t="str">
        <f t="shared" si="2"/>
        <v>-</v>
      </c>
      <c r="K15" s="55">
        <f>($L$5/DAY(DATE(YEAR(TODAY()),MONTH(TODAY())+1,0)))*(7-COUNTBLANK(C10:I10))</f>
        <v>0</v>
      </c>
      <c r="L15" s="46" t="str">
        <f t="shared" si="3"/>
        <v>-</v>
      </c>
      <c r="N15" s="49"/>
      <c r="O15" s="47"/>
      <c r="R15" s="50" t="s">
        <v>26</v>
      </c>
      <c r="S15" s="40">
        <f>AVERAGE(S11:S14)</f>
        <v>3266675</v>
      </c>
      <c r="T15" s="50"/>
      <c r="U15" s="50"/>
    </row>
    <row r="16" ht="15.75" customHeight="1">
      <c r="B16" s="41" t="s">
        <v>11</v>
      </c>
      <c r="C16" s="52"/>
      <c r="D16" s="53"/>
      <c r="E16" s="53"/>
      <c r="F16" s="53"/>
      <c r="G16" s="53"/>
      <c r="H16" s="53"/>
      <c r="I16" s="59">
        <v>1.0</v>
      </c>
      <c r="J16" s="46">
        <f t="shared" si="2"/>
        <v>1</v>
      </c>
      <c r="K16" s="55">
        <f>($N$5/DAY(DATE(YEAR(TODAY()),MONTH(TODAY())+1,0)))*(7-COUNTBLANK(C10:I10))</f>
        <v>0.1666666667</v>
      </c>
      <c r="L16" s="46">
        <f t="shared" si="3"/>
        <v>0.8333333333</v>
      </c>
      <c r="N16" s="49"/>
      <c r="O16" s="47"/>
      <c r="R16" s="50" t="s">
        <v>27</v>
      </c>
      <c r="S16" s="40">
        <f>AVERAGE(T11:T13)</f>
        <v>37.66666667</v>
      </c>
      <c r="T16" s="50"/>
      <c r="U16" s="50"/>
    </row>
    <row r="17" ht="15.75" customHeight="1">
      <c r="B17" s="56" t="s">
        <v>12</v>
      </c>
      <c r="C17" s="52"/>
      <c r="D17" s="53"/>
      <c r="E17" s="53"/>
      <c r="F17" s="53"/>
      <c r="G17" s="53"/>
      <c r="H17" s="53"/>
      <c r="I17" s="59">
        <v>3.0</v>
      </c>
      <c r="J17" s="46">
        <f t="shared" si="2"/>
        <v>3</v>
      </c>
      <c r="K17" s="55">
        <f>($P$5/DAY(DATE(YEAR(TODAY()),MONTH(TODAY())+1,0)))*(7-COUNTBLANK(C10:I10))</f>
        <v>1.5</v>
      </c>
      <c r="L17" s="46">
        <f t="shared" si="3"/>
        <v>1.5</v>
      </c>
      <c r="N17" s="49"/>
      <c r="O17" s="47"/>
      <c r="R17" s="50"/>
      <c r="S17" s="50"/>
      <c r="T17" s="50"/>
      <c r="U17" s="50"/>
    </row>
    <row r="18" ht="15.75" customHeight="1">
      <c r="B18" s="56" t="s">
        <v>13</v>
      </c>
      <c r="C18" s="52"/>
      <c r="D18" s="53"/>
      <c r="E18" s="53"/>
      <c r="F18" s="53"/>
      <c r="G18" s="53"/>
      <c r="H18" s="53"/>
      <c r="I18" s="54"/>
      <c r="J18" s="46" t="str">
        <f t="shared" si="2"/>
        <v>-</v>
      </c>
      <c r="K18" s="55">
        <f>($R$5/DAY(DATE(YEAR(TODAY()),MONTH(TODAY())+1,0)))*(7-COUNTBLANK(C10:I10))</f>
        <v>0.1666666667</v>
      </c>
      <c r="L18" s="46" t="str">
        <f t="shared" si="3"/>
        <v>-</v>
      </c>
      <c r="N18" s="49"/>
      <c r="O18" s="47"/>
      <c r="R18" s="50" t="s">
        <v>28</v>
      </c>
      <c r="S18" s="60">
        <f>(P6+R6)/U11</f>
        <v>1.441176471</v>
      </c>
      <c r="T18" s="102"/>
      <c r="U18" s="50" t="s">
        <v>29</v>
      </c>
    </row>
    <row r="19" ht="15.75" customHeight="1">
      <c r="B19" s="61" t="s">
        <v>14</v>
      </c>
      <c r="C19" s="86"/>
      <c r="D19" s="63"/>
      <c r="E19" s="63"/>
      <c r="F19" s="63"/>
      <c r="G19" s="63"/>
      <c r="H19" s="63"/>
      <c r="I19" s="65">
        <v>6.0</v>
      </c>
      <c r="J19" s="66">
        <f>sum(C19:I19)</f>
        <v>6</v>
      </c>
      <c r="K19" s="67">
        <f>sum(K12:K18)</f>
        <v>3.166666667</v>
      </c>
      <c r="L19" s="67">
        <f t="shared" si="3"/>
        <v>2.833333333</v>
      </c>
      <c r="N19" s="49"/>
      <c r="O19" s="47"/>
      <c r="R19" s="50" t="s">
        <v>30</v>
      </c>
      <c r="S19" s="60">
        <f>D6/D5</f>
        <v>0.9296037778</v>
      </c>
      <c r="T19" s="96"/>
      <c r="U19" s="96"/>
    </row>
    <row r="20" ht="15.75" customHeight="1">
      <c r="B20" s="68" t="s">
        <v>15</v>
      </c>
      <c r="C20" s="69"/>
      <c r="D20" s="70"/>
      <c r="E20" s="70"/>
      <c r="F20" s="70"/>
      <c r="G20" s="70"/>
      <c r="H20" s="70"/>
      <c r="I20" s="71"/>
      <c r="J20" s="72">
        <f t="shared" ref="J20:K20" si="4">iferror(J11/J19,0)</f>
        <v>35000</v>
      </c>
      <c r="K20" s="73">
        <f t="shared" si="4"/>
        <v>47368.42105</v>
      </c>
      <c r="L20" s="73">
        <f t="shared" ref="L20:L21" si="5">iferror(J20-K20,0)</f>
        <v>-12368.42105</v>
      </c>
      <c r="N20" s="13"/>
      <c r="O20" s="47"/>
      <c r="R20" s="50" t="s">
        <v>31</v>
      </c>
      <c r="S20" s="103">
        <v>0.267</v>
      </c>
      <c r="T20" s="96"/>
      <c r="U20" s="50" t="s">
        <v>32</v>
      </c>
    </row>
    <row r="21" ht="15.75" customHeight="1">
      <c r="B21" s="74" t="s">
        <v>33</v>
      </c>
      <c r="C21" s="75"/>
      <c r="D21" s="76"/>
      <c r="E21" s="76"/>
      <c r="F21" s="76"/>
      <c r="G21" s="76"/>
      <c r="H21" s="76"/>
      <c r="I21" s="77"/>
      <c r="J21" s="78"/>
      <c r="K21" s="78"/>
      <c r="L21" s="78">
        <f t="shared" si="5"/>
        <v>0</v>
      </c>
      <c r="M21" s="79"/>
      <c r="N21" s="49"/>
      <c r="O21" s="47"/>
      <c r="P21" s="79"/>
      <c r="Q21" s="79"/>
      <c r="R21" s="79"/>
      <c r="S21" s="79"/>
      <c r="T21" s="79"/>
      <c r="U21" s="79"/>
      <c r="V21" s="79"/>
    </row>
    <row r="22" ht="18.0" customHeight="1">
      <c r="B22" s="79"/>
      <c r="J22" s="79"/>
      <c r="K22" s="79"/>
      <c r="L22" s="79"/>
      <c r="M22" s="79"/>
      <c r="N22" s="49"/>
      <c r="O22" s="47"/>
      <c r="P22" s="79"/>
      <c r="Q22" s="79"/>
      <c r="R22" s="79"/>
      <c r="T22" s="79"/>
      <c r="U22" s="79"/>
      <c r="V22" s="79"/>
    </row>
    <row r="23" ht="15.75" customHeight="1">
      <c r="B23" s="21" t="s">
        <v>34</v>
      </c>
      <c r="J23" s="79"/>
      <c r="K23" s="79"/>
      <c r="L23" s="79"/>
      <c r="N23" s="49"/>
      <c r="O23" s="47"/>
    </row>
    <row r="24" ht="15.75" customHeight="1">
      <c r="B24" s="21"/>
      <c r="J24" s="79"/>
      <c r="K24" s="79"/>
      <c r="L24" s="79"/>
      <c r="N24" s="49"/>
      <c r="O24" s="47"/>
    </row>
    <row r="25" ht="15.75" customHeight="1">
      <c r="B25" s="22" t="s">
        <v>19</v>
      </c>
      <c r="C25" s="80" t="s">
        <v>43</v>
      </c>
      <c r="D25" s="24" t="s">
        <v>44</v>
      </c>
      <c r="E25" s="24" t="s">
        <v>45</v>
      </c>
      <c r="F25" s="24" t="s">
        <v>46</v>
      </c>
      <c r="G25" s="24" t="s">
        <v>47</v>
      </c>
      <c r="H25" s="24" t="s">
        <v>48</v>
      </c>
      <c r="I25" s="24" t="s">
        <v>49</v>
      </c>
      <c r="J25" s="25" t="s">
        <v>20</v>
      </c>
      <c r="K25" s="25" t="s">
        <v>21</v>
      </c>
      <c r="L25" s="25" t="s">
        <v>17</v>
      </c>
      <c r="N25" s="50"/>
      <c r="O25" s="50"/>
    </row>
    <row r="26" ht="15.75" customHeight="1">
      <c r="B26" s="31" t="s">
        <v>6</v>
      </c>
      <c r="C26" s="32">
        <v>151000.0</v>
      </c>
      <c r="D26" s="33"/>
      <c r="E26" s="34">
        <v>55500.0</v>
      </c>
      <c r="F26" s="34">
        <v>280000.0</v>
      </c>
      <c r="G26" s="34">
        <v>373200.0</v>
      </c>
      <c r="H26" s="34">
        <v>103000.0</v>
      </c>
      <c r="I26" s="35">
        <v>98367.0</v>
      </c>
      <c r="J26" s="36">
        <f>sum(C26:I26)</f>
        <v>1061067</v>
      </c>
      <c r="K26" s="37">
        <f>($D$5/DAY(DATE(YEAR(TODAY()),MONTH(TODAY())+1,0)))*(7-COUNTBLANK(C25:I25))</f>
        <v>1050000</v>
      </c>
      <c r="L26" s="37">
        <f>iferror(J26-K26,0)</f>
        <v>11067</v>
      </c>
      <c r="N26" s="50"/>
      <c r="O26" s="50"/>
    </row>
    <row r="27" ht="15.75" customHeight="1">
      <c r="B27" s="41" t="s">
        <v>7</v>
      </c>
      <c r="C27" s="42">
        <v>2.0</v>
      </c>
      <c r="D27" s="43"/>
      <c r="E27" s="44">
        <v>1.0</v>
      </c>
      <c r="F27" s="44">
        <v>1.0</v>
      </c>
      <c r="G27" s="44">
        <v>2.0</v>
      </c>
      <c r="H27" s="43"/>
      <c r="I27" s="81">
        <v>1.0</v>
      </c>
      <c r="J27" s="46">
        <f t="shared" ref="J27:J30" si="6">if(sum(C27:I27) =0,"-",sum(C27:I27))</f>
        <v>7</v>
      </c>
      <c r="K27" s="46">
        <f>($F$5/DAY(DATE(YEAR(TODAY()),MONTH(TODAY())+1,0)))*(7-COUNTBLANK(C25:I25))</f>
        <v>8.166666667</v>
      </c>
      <c r="L27" s="46">
        <f t="shared" ref="L27:L30" si="7">iferror(J27-K27,"-")</f>
        <v>-1.166666667</v>
      </c>
      <c r="N27" s="50"/>
      <c r="O27" s="50"/>
    </row>
    <row r="28" ht="15.75" customHeight="1">
      <c r="B28" s="41" t="s">
        <v>8</v>
      </c>
      <c r="C28" s="48"/>
      <c r="D28" s="43"/>
      <c r="E28" s="43"/>
      <c r="F28" s="44">
        <v>1.0</v>
      </c>
      <c r="G28" s="43"/>
      <c r="H28" s="43"/>
      <c r="I28" s="45"/>
      <c r="J28" s="46">
        <f t="shared" si="6"/>
        <v>1</v>
      </c>
      <c r="K28" s="46">
        <f>($H$5/DAY(DATE(YEAR(TODAY()),MONTH(TODAY())+1,0)))*(7-COUNTBLANK(C25:I25))</f>
        <v>1.166666667</v>
      </c>
      <c r="L28" s="46">
        <f t="shared" si="7"/>
        <v>-0.1666666667</v>
      </c>
      <c r="N28" s="50"/>
      <c r="O28" s="50"/>
      <c r="R28" s="104" t="s">
        <v>50</v>
      </c>
    </row>
    <row r="29" ht="15.75" customHeight="1">
      <c r="B29" s="51" t="s">
        <v>9</v>
      </c>
      <c r="C29" s="52"/>
      <c r="D29" s="53"/>
      <c r="E29" s="53"/>
      <c r="F29" s="53"/>
      <c r="G29" s="53"/>
      <c r="H29" s="53"/>
      <c r="I29" s="54"/>
      <c r="J29" s="46" t="str">
        <f t="shared" si="6"/>
        <v>-</v>
      </c>
      <c r="K29" s="55">
        <f>($J$5/DAY(DATE(YEAR(TODAY()),MONTH(TODAY())+1,0)))*(7-COUNTBLANK(C25:I25))</f>
        <v>0</v>
      </c>
      <c r="L29" s="46" t="str">
        <f t="shared" si="7"/>
        <v>-</v>
      </c>
      <c r="N29" s="50"/>
      <c r="O29" s="50"/>
    </row>
    <row r="30" ht="15.75" customHeight="1">
      <c r="B30" s="51" t="s">
        <v>10</v>
      </c>
      <c r="C30" s="52"/>
      <c r="D30" s="53"/>
      <c r="E30" s="53"/>
      <c r="F30" s="53"/>
      <c r="G30" s="53"/>
      <c r="H30" s="53"/>
      <c r="I30" s="54"/>
      <c r="J30" s="46" t="str">
        <f t="shared" si="6"/>
        <v>-</v>
      </c>
      <c r="K30" s="55">
        <f>($L$5/DAY(DATE(YEAR(TODAY()),MONTH(TODAY())+1,0)))*(7-COUNTBLANK(C25:I25))</f>
        <v>0</v>
      </c>
      <c r="L30" s="46" t="str">
        <f t="shared" si="7"/>
        <v>-</v>
      </c>
      <c r="N30" s="50"/>
      <c r="O30" s="50"/>
    </row>
    <row r="31" ht="15.75" customHeight="1">
      <c r="B31" s="51"/>
      <c r="C31" s="52"/>
      <c r="D31" s="53"/>
      <c r="E31" s="53"/>
      <c r="F31" s="53"/>
      <c r="G31" s="53"/>
      <c r="H31" s="53"/>
      <c r="I31" s="54"/>
      <c r="J31" s="46"/>
      <c r="K31" s="55"/>
      <c r="L31" s="46"/>
      <c r="N31" s="50"/>
      <c r="O31" s="50"/>
    </row>
    <row r="32" ht="15.75" customHeight="1">
      <c r="B32" s="41" t="s">
        <v>11</v>
      </c>
      <c r="C32" s="52"/>
      <c r="D32" s="53"/>
      <c r="E32" s="53"/>
      <c r="F32" s="53"/>
      <c r="G32" s="58">
        <v>1.0</v>
      </c>
      <c r="H32" s="53"/>
      <c r="I32" s="54"/>
      <c r="J32" s="46">
        <f t="shared" ref="J32:J34" si="8">if(sum(C32:I32) =0,"-",sum(C32:I32))</f>
        <v>1</v>
      </c>
      <c r="K32" s="55">
        <f>($N$5/DAY(DATE(YEAR(TODAY()),MONTH(TODAY())+1,0)))*(7-COUNTBLANK(C25:I25))</f>
        <v>1.166666667</v>
      </c>
      <c r="L32" s="46">
        <f t="shared" ref="L32:L35" si="9">iferror(J32-K32,"-")</f>
        <v>-0.1666666667</v>
      </c>
    </row>
    <row r="33" ht="15.75" customHeight="1">
      <c r="B33" s="56" t="s">
        <v>12</v>
      </c>
      <c r="C33" s="57">
        <v>2.0</v>
      </c>
      <c r="D33" s="53"/>
      <c r="E33" s="58">
        <v>1.0</v>
      </c>
      <c r="F33" s="58">
        <v>2.0</v>
      </c>
      <c r="G33" s="58">
        <v>1.0</v>
      </c>
      <c r="H33" s="58">
        <v>2.0</v>
      </c>
      <c r="I33" s="59">
        <v>3.0</v>
      </c>
      <c r="J33" s="46">
        <f t="shared" si="8"/>
        <v>11</v>
      </c>
      <c r="K33" s="55">
        <f>($P$5/DAY(DATE(YEAR(TODAY()),MONTH(TODAY())+1,0)))*(7-COUNTBLANK(C25:I25))</f>
        <v>10.5</v>
      </c>
      <c r="L33" s="46">
        <f t="shared" si="9"/>
        <v>0.5</v>
      </c>
      <c r="M33" s="79"/>
      <c r="N33" s="79"/>
      <c r="O33" s="79"/>
      <c r="P33" s="79"/>
      <c r="Q33" s="79"/>
    </row>
    <row r="34" ht="18.75" customHeight="1">
      <c r="B34" s="56" t="s">
        <v>13</v>
      </c>
      <c r="C34" s="52"/>
      <c r="D34" s="53"/>
      <c r="E34" s="53"/>
      <c r="F34" s="53"/>
      <c r="G34" s="53"/>
      <c r="H34" s="53"/>
      <c r="I34" s="54"/>
      <c r="J34" s="46" t="str">
        <f t="shared" si="8"/>
        <v>-</v>
      </c>
      <c r="K34" s="55">
        <f>($R$5/DAY(DATE(YEAR(TODAY()),MONTH(TODAY())+1,0)))*(7-COUNTBLANK(C25:I25))</f>
        <v>1.166666667</v>
      </c>
      <c r="L34" s="46" t="str">
        <f t="shared" si="9"/>
        <v>-</v>
      </c>
      <c r="M34" s="79"/>
      <c r="N34" s="79"/>
      <c r="O34" s="79"/>
      <c r="P34" s="79"/>
      <c r="Q34" s="79"/>
    </row>
    <row r="35" ht="18.75" customHeight="1">
      <c r="B35" s="61" t="s">
        <v>14</v>
      </c>
      <c r="C35" s="62">
        <v>4.0</v>
      </c>
      <c r="D35" s="63"/>
      <c r="E35" s="64">
        <v>2.0</v>
      </c>
      <c r="F35" s="64">
        <v>4.0</v>
      </c>
      <c r="G35" s="64">
        <v>4.0</v>
      </c>
      <c r="H35" s="64">
        <v>2.0</v>
      </c>
      <c r="I35" s="65">
        <v>4.0</v>
      </c>
      <c r="J35" s="66">
        <f>sum(C35:I35)</f>
        <v>20</v>
      </c>
      <c r="K35" s="67">
        <f>sum(K27:K34)</f>
        <v>22.16666667</v>
      </c>
      <c r="L35" s="67">
        <f t="shared" si="9"/>
        <v>-2.166666667</v>
      </c>
      <c r="M35" s="79"/>
      <c r="N35" s="79"/>
      <c r="O35" s="79"/>
      <c r="P35" s="79"/>
      <c r="Q35" s="79"/>
    </row>
    <row r="36" ht="18.75" customHeight="1">
      <c r="B36" s="68" t="s">
        <v>15</v>
      </c>
      <c r="C36" s="105">
        <v>37750.0</v>
      </c>
      <c r="D36" s="70"/>
      <c r="E36" s="70"/>
      <c r="F36" s="70"/>
      <c r="G36" s="70"/>
      <c r="H36" s="70"/>
      <c r="I36" s="71"/>
      <c r="J36" s="72">
        <f t="shared" ref="J36:K36" si="10">iferror(J26/J35,0)</f>
        <v>53053.35</v>
      </c>
      <c r="K36" s="73">
        <f t="shared" si="10"/>
        <v>47368.42105</v>
      </c>
      <c r="L36" s="73">
        <f t="shared" ref="L36:L37" si="11">iferror(J36-K36,0)</f>
        <v>5684.928947</v>
      </c>
      <c r="M36" s="79"/>
      <c r="N36" s="79"/>
      <c r="O36" s="79"/>
      <c r="P36" s="79"/>
      <c r="Q36" s="79"/>
    </row>
    <row r="37" ht="18.75" customHeight="1">
      <c r="B37" s="74" t="s">
        <v>33</v>
      </c>
      <c r="C37" s="75"/>
      <c r="D37" s="76"/>
      <c r="E37" s="76"/>
      <c r="F37" s="76"/>
      <c r="G37" s="76"/>
      <c r="H37" s="76"/>
      <c r="I37" s="77"/>
      <c r="J37" s="78"/>
      <c r="K37" s="78"/>
      <c r="L37" s="78">
        <f t="shared" si="11"/>
        <v>0</v>
      </c>
      <c r="M37" s="79"/>
      <c r="N37" s="79"/>
      <c r="O37" s="79"/>
      <c r="P37" s="79"/>
      <c r="Q37" s="79"/>
    </row>
    <row r="38" ht="18.75" customHeight="1">
      <c r="B38" s="21"/>
      <c r="J38" s="79"/>
      <c r="K38" s="79"/>
      <c r="L38" s="79"/>
      <c r="M38" s="79"/>
      <c r="N38" s="79"/>
      <c r="O38" s="79"/>
      <c r="P38" s="79"/>
      <c r="Q38" s="79"/>
    </row>
    <row r="39" ht="18.75" customHeight="1">
      <c r="B39" s="21"/>
      <c r="J39" s="79"/>
      <c r="K39" s="79"/>
      <c r="L39" s="79"/>
      <c r="M39" s="79"/>
      <c r="N39" s="79"/>
      <c r="O39" s="79"/>
      <c r="P39" s="79"/>
      <c r="Q39" s="79"/>
    </row>
    <row r="40" ht="15.75" customHeight="1">
      <c r="B40" s="21" t="s">
        <v>35</v>
      </c>
      <c r="J40" s="79"/>
      <c r="K40" s="79"/>
      <c r="L40" s="79"/>
      <c r="M40" s="79"/>
      <c r="N40" s="79"/>
      <c r="O40" s="79"/>
      <c r="P40" s="79"/>
      <c r="Q40" s="79"/>
    </row>
    <row r="41" ht="15.75" customHeight="1">
      <c r="B41" s="22" t="s">
        <v>19</v>
      </c>
      <c r="C41" s="80" t="s">
        <v>51</v>
      </c>
      <c r="D41" s="24" t="s">
        <v>52</v>
      </c>
      <c r="E41" s="24" t="s">
        <v>53</v>
      </c>
      <c r="F41" s="24" t="s">
        <v>54</v>
      </c>
      <c r="G41" s="24" t="s">
        <v>55</v>
      </c>
      <c r="H41" s="24" t="s">
        <v>56</v>
      </c>
      <c r="I41" s="24" t="s">
        <v>57</v>
      </c>
      <c r="J41" s="25" t="s">
        <v>20</v>
      </c>
      <c r="K41" s="25" t="s">
        <v>21</v>
      </c>
      <c r="L41" s="25" t="s">
        <v>17</v>
      </c>
    </row>
    <row r="42" ht="15.75" customHeight="1">
      <c r="B42" s="31" t="s">
        <v>6</v>
      </c>
      <c r="C42" s="32"/>
      <c r="D42" s="34">
        <v>245700.0</v>
      </c>
      <c r="E42" s="34">
        <v>82000.0</v>
      </c>
      <c r="F42" s="34">
        <v>61500.0</v>
      </c>
      <c r="G42" s="34">
        <v>261500.0</v>
      </c>
      <c r="H42" s="34">
        <v>59500.0</v>
      </c>
      <c r="I42" s="35">
        <v>215000.0</v>
      </c>
      <c r="J42" s="36">
        <f>sum(C42:I42)</f>
        <v>925200</v>
      </c>
      <c r="K42" s="37">
        <f>($D$5/DAY(DATE(YEAR(TODAY()),MONTH(TODAY())+1,0)))*(7-COUNTBLANK(C41:I41))</f>
        <v>1050000</v>
      </c>
      <c r="L42" s="37">
        <f>iferror(J42-K42,0)</f>
        <v>-124800</v>
      </c>
    </row>
    <row r="43" ht="15.75" customHeight="1">
      <c r="B43" s="41" t="s">
        <v>7</v>
      </c>
      <c r="C43" s="42">
        <v>2.0</v>
      </c>
      <c r="D43" s="44">
        <v>3.0</v>
      </c>
      <c r="E43" s="44">
        <v>1.0</v>
      </c>
      <c r="F43" s="44">
        <v>1.0</v>
      </c>
      <c r="G43" s="44">
        <v>1.0</v>
      </c>
      <c r="H43" s="43"/>
      <c r="I43" s="81">
        <v>1.0</v>
      </c>
      <c r="J43" s="46">
        <f t="shared" ref="J43:J49" si="12">if(sum(C43:I43) =0,"-",sum(C43:I43))</f>
        <v>9</v>
      </c>
      <c r="K43" s="46">
        <f>($F$5/DAY(DATE(YEAR(TODAY()),MONTH(TODAY())+1,0)))*(7-COUNTBLANK(C41:I41))</f>
        <v>8.166666667</v>
      </c>
      <c r="L43" s="46">
        <f t="shared" ref="L43:L50" si="13">iferror(J43-K43,"-")</f>
        <v>0.8333333333</v>
      </c>
    </row>
    <row r="44" ht="15.75" customHeight="1">
      <c r="B44" s="41" t="s">
        <v>8</v>
      </c>
      <c r="C44" s="48"/>
      <c r="D44" s="44">
        <v>1.0</v>
      </c>
      <c r="E44" s="43"/>
      <c r="F44" s="43"/>
      <c r="G44" s="43"/>
      <c r="H44" s="43"/>
      <c r="I44" s="45"/>
      <c r="J44" s="46">
        <f t="shared" si="12"/>
        <v>1</v>
      </c>
      <c r="K44" s="46">
        <f>($H$5/DAY(DATE(YEAR(TODAY()),MONTH(TODAY())+1,0)))*(7-COUNTBLANK(C41:I41))</f>
        <v>1.166666667</v>
      </c>
      <c r="L44" s="46">
        <f t="shared" si="13"/>
        <v>-0.1666666667</v>
      </c>
    </row>
    <row r="45" ht="15.75" customHeight="1">
      <c r="B45" s="51" t="s">
        <v>9</v>
      </c>
      <c r="C45" s="52"/>
      <c r="D45" s="53"/>
      <c r="E45" s="53"/>
      <c r="F45" s="53"/>
      <c r="G45" s="53"/>
      <c r="H45" s="53"/>
      <c r="I45" s="54"/>
      <c r="J45" s="46" t="str">
        <f t="shared" si="12"/>
        <v>-</v>
      </c>
      <c r="K45" s="55">
        <f>($J$5/DAY(DATE(YEAR(TODAY()),MONTH(TODAY())+1,0)))*(7-COUNTBLANK(C41:I41))</f>
        <v>0</v>
      </c>
      <c r="L45" s="46" t="str">
        <f t="shared" si="13"/>
        <v>-</v>
      </c>
    </row>
    <row r="46" ht="15.75" customHeight="1">
      <c r="B46" s="51" t="s">
        <v>10</v>
      </c>
      <c r="C46" s="52"/>
      <c r="D46" s="53"/>
      <c r="E46" s="53"/>
      <c r="F46" s="53"/>
      <c r="G46" s="53"/>
      <c r="H46" s="53"/>
      <c r="I46" s="54"/>
      <c r="J46" s="46" t="str">
        <f t="shared" si="12"/>
        <v>-</v>
      </c>
      <c r="K46" s="55">
        <f>($L$5/DAY(DATE(YEAR(TODAY()),MONTH(TODAY())+1,0)))*(7-COUNTBLANK(C41:I41))</f>
        <v>0</v>
      </c>
      <c r="L46" s="46" t="str">
        <f t="shared" si="13"/>
        <v>-</v>
      </c>
    </row>
    <row r="47" ht="15.75" customHeight="1">
      <c r="B47" s="41" t="s">
        <v>11</v>
      </c>
      <c r="C47" s="52"/>
      <c r="D47" s="53"/>
      <c r="E47" s="53"/>
      <c r="F47" s="58">
        <v>1.0</v>
      </c>
      <c r="G47" s="58">
        <v>1.0</v>
      </c>
      <c r="H47" s="53"/>
      <c r="I47" s="59">
        <v>3.0</v>
      </c>
      <c r="J47" s="46">
        <f t="shared" si="12"/>
        <v>5</v>
      </c>
      <c r="K47" s="55">
        <f>($N$5/DAY(DATE(YEAR(TODAY()),MONTH(TODAY())+1,0)))*(7-COUNTBLANK(C41:I41))</f>
        <v>1.166666667</v>
      </c>
      <c r="L47" s="46">
        <f t="shared" si="13"/>
        <v>3.833333333</v>
      </c>
    </row>
    <row r="48" ht="15.75" customHeight="1">
      <c r="B48" s="56" t="s">
        <v>12</v>
      </c>
      <c r="C48" s="52"/>
      <c r="D48" s="53"/>
      <c r="E48" s="58">
        <v>1.0</v>
      </c>
      <c r="F48" s="53"/>
      <c r="G48" s="58">
        <v>3.0</v>
      </c>
      <c r="H48" s="58">
        <v>1.0</v>
      </c>
      <c r="I48" s="59">
        <v>1.0</v>
      </c>
      <c r="J48" s="46">
        <f t="shared" si="12"/>
        <v>6</v>
      </c>
      <c r="K48" s="55">
        <f>($P$5/DAY(DATE(YEAR(TODAY()),MONTH(TODAY())+1,0)))*(7-COUNTBLANK(C41:I41))</f>
        <v>10.5</v>
      </c>
      <c r="L48" s="46">
        <f t="shared" si="13"/>
        <v>-4.5</v>
      </c>
    </row>
    <row r="49" ht="15.75" customHeight="1">
      <c r="B49" s="56" t="s">
        <v>13</v>
      </c>
      <c r="C49" s="52"/>
      <c r="D49" s="53"/>
      <c r="E49" s="58">
        <v>1.0</v>
      </c>
      <c r="F49" s="53"/>
      <c r="G49" s="53"/>
      <c r="H49" s="53"/>
      <c r="I49" s="54"/>
      <c r="J49" s="46">
        <f t="shared" si="12"/>
        <v>1</v>
      </c>
      <c r="K49" s="55">
        <f>($R$5/DAY(DATE(YEAR(TODAY()),MONTH(TODAY())+1,0)))*(7-COUNTBLANK(C41:I41))</f>
        <v>1.166666667</v>
      </c>
      <c r="L49" s="46">
        <f t="shared" si="13"/>
        <v>-0.1666666667</v>
      </c>
    </row>
    <row r="50" ht="15.75" customHeight="1">
      <c r="B50" s="61" t="s">
        <v>14</v>
      </c>
      <c r="C50" s="62">
        <v>2.0</v>
      </c>
      <c r="D50" s="64">
        <v>4.0</v>
      </c>
      <c r="E50" s="64">
        <v>3.0</v>
      </c>
      <c r="F50" s="64">
        <v>2.0</v>
      </c>
      <c r="G50" s="64">
        <v>5.0</v>
      </c>
      <c r="H50" s="64">
        <v>1.0</v>
      </c>
      <c r="I50" s="65">
        <v>5.0</v>
      </c>
      <c r="J50" s="66">
        <f>sum(C50:I50)</f>
        <v>22</v>
      </c>
      <c r="K50" s="67">
        <f>sum(K43:K49)</f>
        <v>22.16666667</v>
      </c>
      <c r="L50" s="67">
        <f t="shared" si="13"/>
        <v>-0.1666666667</v>
      </c>
    </row>
    <row r="51" ht="15.75" customHeight="1">
      <c r="B51" s="68" t="s">
        <v>15</v>
      </c>
      <c r="C51" s="69"/>
      <c r="D51" s="70"/>
      <c r="E51" s="70"/>
      <c r="F51" s="70"/>
      <c r="G51" s="70"/>
      <c r="H51" s="70"/>
      <c r="I51" s="71"/>
      <c r="J51" s="72">
        <f t="shared" ref="J51:K51" si="14">iferror(J42/J50,0)</f>
        <v>42054.54545</v>
      </c>
      <c r="K51" s="73">
        <f t="shared" si="14"/>
        <v>47368.42105</v>
      </c>
      <c r="L51" s="73">
        <f t="shared" ref="L51:L52" si="15">iferror(J51-K51,0)</f>
        <v>-5313.875598</v>
      </c>
    </row>
    <row r="52" ht="15.75" customHeight="1">
      <c r="B52" s="74" t="s">
        <v>33</v>
      </c>
      <c r="C52" s="75"/>
      <c r="D52" s="76"/>
      <c r="E52" s="76"/>
      <c r="F52" s="76"/>
      <c r="G52" s="76"/>
      <c r="H52" s="76"/>
      <c r="I52" s="77"/>
      <c r="J52" s="78"/>
      <c r="K52" s="78"/>
      <c r="L52" s="78">
        <f t="shared" si="15"/>
        <v>0</v>
      </c>
    </row>
    <row r="53" ht="15.75" customHeight="1"/>
    <row r="54" ht="15.75" customHeight="1"/>
    <row r="55" ht="15.75" customHeight="1">
      <c r="B55" s="21" t="s">
        <v>36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 ht="15.75" customHeight="1">
      <c r="B56" s="22" t="s">
        <v>19</v>
      </c>
      <c r="C56" s="80" t="s">
        <v>58</v>
      </c>
      <c r="D56" s="24" t="s">
        <v>59</v>
      </c>
      <c r="E56" s="24" t="s">
        <v>60</v>
      </c>
      <c r="F56" s="24" t="s">
        <v>61</v>
      </c>
      <c r="G56" s="24" t="s">
        <v>62</v>
      </c>
      <c r="H56" s="24" t="s">
        <v>63</v>
      </c>
      <c r="I56" s="24" t="s">
        <v>64</v>
      </c>
      <c r="J56" s="25" t="s">
        <v>20</v>
      </c>
      <c r="K56" s="25" t="s">
        <v>21</v>
      </c>
      <c r="L56" s="25" t="s">
        <v>17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 ht="15.75" customHeight="1">
      <c r="B57" s="31" t="s">
        <v>6</v>
      </c>
      <c r="C57" s="32">
        <v>168500.0</v>
      </c>
      <c r="D57" s="33"/>
      <c r="E57" s="34">
        <v>309000.0</v>
      </c>
      <c r="F57" s="34">
        <v>58500.0</v>
      </c>
      <c r="G57" s="34">
        <v>117500.0</v>
      </c>
      <c r="H57" s="34">
        <v>67000.0</v>
      </c>
      <c r="I57" s="35">
        <v>126500.0</v>
      </c>
      <c r="J57" s="36">
        <f>sum(C57:I57)</f>
        <v>847000</v>
      </c>
      <c r="K57" s="37">
        <f>($D$5/DAY(DATE(YEAR(TODAY()),MONTH(TODAY())+1,0)))*(7-COUNTBLANK(C56:I56))</f>
        <v>1050000</v>
      </c>
      <c r="L57" s="37">
        <f>iferror(J57-K57,0)</f>
        <v>-203000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 ht="15.75" customHeight="1">
      <c r="B58" s="41" t="s">
        <v>7</v>
      </c>
      <c r="C58" s="42">
        <v>1.0</v>
      </c>
      <c r="D58" s="43"/>
      <c r="E58" s="44">
        <v>3.0</v>
      </c>
      <c r="F58" s="44">
        <v>2.0</v>
      </c>
      <c r="G58" s="44">
        <v>3.0</v>
      </c>
      <c r="H58" s="44">
        <v>1.0</v>
      </c>
      <c r="I58" s="81">
        <v>2.0</v>
      </c>
      <c r="J58" s="46">
        <f t="shared" ref="J58:J64" si="16">if(sum(C58:I58) =0,"-",sum(C58:I58))</f>
        <v>12</v>
      </c>
      <c r="K58" s="46">
        <f>($F$5/DAY(DATE(YEAR(TODAY()),MONTH(TODAY())+1,0)))*(7-COUNTBLANK(C56:I56))</f>
        <v>8.166666667</v>
      </c>
      <c r="L58" s="46">
        <f t="shared" ref="L58:L65" si="17">iferror(J58-K58,"-")</f>
        <v>3.833333333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 ht="15.75" customHeight="1">
      <c r="B59" s="41" t="s">
        <v>8</v>
      </c>
      <c r="C59" s="48"/>
      <c r="D59" s="43"/>
      <c r="E59" s="43"/>
      <c r="F59" s="43"/>
      <c r="G59" s="43"/>
      <c r="H59" s="43"/>
      <c r="I59" s="45"/>
      <c r="J59" s="46" t="str">
        <f t="shared" si="16"/>
        <v>-</v>
      </c>
      <c r="K59" s="46">
        <f>($H$5/DAY(DATE(YEAR(TODAY()),MONTH(TODAY())+1,0)))*(7-COUNTBLANK(C56:I56))</f>
        <v>1.166666667</v>
      </c>
      <c r="L59" s="46" t="str">
        <f t="shared" si="17"/>
        <v>-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 ht="15.75" customHeight="1">
      <c r="B60" s="51" t="s">
        <v>9</v>
      </c>
      <c r="C60" s="52"/>
      <c r="D60" s="53"/>
      <c r="E60" s="53"/>
      <c r="F60" s="53"/>
      <c r="G60" s="53"/>
      <c r="H60" s="53"/>
      <c r="I60" s="54"/>
      <c r="J60" s="46" t="str">
        <f t="shared" si="16"/>
        <v>-</v>
      </c>
      <c r="K60" s="55">
        <f>($J$5/DAY(DATE(YEAR(TODAY()),MONTH(TODAY())+1,0)))*(7-COUNTBLANK(C56:I56))</f>
        <v>0</v>
      </c>
      <c r="L60" s="46" t="str">
        <f t="shared" si="17"/>
        <v>-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 ht="15.75" customHeight="1">
      <c r="B61" s="51" t="s">
        <v>10</v>
      </c>
      <c r="C61" s="52"/>
      <c r="D61" s="53"/>
      <c r="E61" s="53"/>
      <c r="F61" s="53"/>
      <c r="G61" s="53"/>
      <c r="H61" s="53"/>
      <c r="I61" s="54"/>
      <c r="J61" s="46" t="str">
        <f t="shared" si="16"/>
        <v>-</v>
      </c>
      <c r="K61" s="55">
        <f>($L$5/DAY(DATE(YEAR(TODAY()),MONTH(TODAY())+1,0)))*(7-COUNTBLANK(C56:I56))</f>
        <v>0</v>
      </c>
      <c r="L61" s="46" t="str">
        <f t="shared" si="17"/>
        <v>-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 ht="15.75" customHeight="1">
      <c r="B62" s="41" t="s">
        <v>11</v>
      </c>
      <c r="C62" s="52"/>
      <c r="D62" s="53"/>
      <c r="E62" s="53"/>
      <c r="F62" s="53"/>
      <c r="G62" s="58">
        <v>1.0</v>
      </c>
      <c r="H62" s="58">
        <v>1.0</v>
      </c>
      <c r="I62" s="54"/>
      <c r="J62" s="46">
        <f t="shared" si="16"/>
        <v>2</v>
      </c>
      <c r="K62" s="55">
        <f>($N$5/DAY(DATE(YEAR(TODAY()),MONTH(TODAY())+1,0)))*(7-COUNTBLANK(C56:I56))</f>
        <v>1.166666667</v>
      </c>
      <c r="L62" s="46">
        <f t="shared" si="17"/>
        <v>0.8333333333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 ht="15.75" customHeight="1">
      <c r="B63" s="56" t="s">
        <v>12</v>
      </c>
      <c r="C63" s="57">
        <v>2.0</v>
      </c>
      <c r="D63" s="53"/>
      <c r="E63" s="58">
        <v>4.0</v>
      </c>
      <c r="F63" s="58">
        <v>1.0</v>
      </c>
      <c r="G63" s="58"/>
      <c r="H63" s="58">
        <v>2.0</v>
      </c>
      <c r="I63" s="59">
        <v>4.0</v>
      </c>
      <c r="J63" s="46">
        <f t="shared" si="16"/>
        <v>13</v>
      </c>
      <c r="K63" s="55">
        <f>($P$5/DAY(DATE(YEAR(TODAY()),MONTH(TODAY())+1,0)))*(7-COUNTBLANK(C56:I56))</f>
        <v>10.5</v>
      </c>
      <c r="L63" s="46">
        <f t="shared" si="17"/>
        <v>2.5</v>
      </c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 ht="15.75" customHeight="1">
      <c r="B64" s="56" t="s">
        <v>13</v>
      </c>
      <c r="C64" s="52"/>
      <c r="D64" s="53"/>
      <c r="E64" s="53"/>
      <c r="F64" s="53"/>
      <c r="G64" s="53"/>
      <c r="H64" s="53"/>
      <c r="I64" s="54"/>
      <c r="J64" s="46" t="str">
        <f t="shared" si="16"/>
        <v>-</v>
      </c>
      <c r="K64" s="55">
        <f>($R$5/DAY(DATE(YEAR(TODAY()),MONTH(TODAY())+1,0)))*(7-COUNTBLANK(C56:I56))</f>
        <v>1.166666667</v>
      </c>
      <c r="L64" s="46" t="str">
        <f t="shared" si="17"/>
        <v>-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 ht="15.75" customHeight="1">
      <c r="B65" s="61" t="s">
        <v>14</v>
      </c>
      <c r="C65" s="86"/>
      <c r="D65" s="63"/>
      <c r="E65" s="64">
        <v>7.0</v>
      </c>
      <c r="F65" s="64">
        <v>3.0</v>
      </c>
      <c r="G65" s="64">
        <v>4.0</v>
      </c>
      <c r="H65" s="64">
        <v>4.0</v>
      </c>
      <c r="I65" s="65">
        <v>6.0</v>
      </c>
      <c r="J65" s="66">
        <f>sum(C65:I65)</f>
        <v>24</v>
      </c>
      <c r="K65" s="67">
        <f>sum(K58:K64)</f>
        <v>22.16666667</v>
      </c>
      <c r="L65" s="67">
        <f t="shared" si="17"/>
        <v>1.833333333</v>
      </c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 ht="15.75" customHeight="1">
      <c r="B66" s="68" t="s">
        <v>15</v>
      </c>
      <c r="C66" s="69"/>
      <c r="D66" s="70"/>
      <c r="E66" s="70"/>
      <c r="F66" s="70"/>
      <c r="G66" s="70"/>
      <c r="H66" s="70"/>
      <c r="I66" s="71"/>
      <c r="J66" s="72">
        <f t="shared" ref="J66:K66" si="18">iferror(J57/J65,0)</f>
        <v>35291.66667</v>
      </c>
      <c r="K66" s="73">
        <f t="shared" si="18"/>
        <v>47368.42105</v>
      </c>
      <c r="L66" s="73">
        <f t="shared" ref="L66:L67" si="19">iferror(J66-K66,0)</f>
        <v>-12076.75439</v>
      </c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 ht="15.75" customHeight="1">
      <c r="B67" s="74" t="s">
        <v>33</v>
      </c>
      <c r="C67" s="75"/>
      <c r="D67" s="76"/>
      <c r="E67" s="76"/>
      <c r="F67" s="76"/>
      <c r="G67" s="76"/>
      <c r="H67" s="76"/>
      <c r="I67" s="77"/>
      <c r="J67" s="78"/>
      <c r="K67" s="78"/>
      <c r="L67" s="78">
        <f t="shared" si="19"/>
        <v>0</v>
      </c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 ht="15.75" customHeight="1">
      <c r="B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 ht="15.75" customHeight="1">
      <c r="B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 ht="15.75" customHeight="1">
      <c r="B70" s="21" t="s">
        <v>37</v>
      </c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 ht="15.75" customHeight="1">
      <c r="B71" s="22" t="s">
        <v>19</v>
      </c>
      <c r="C71" s="80">
        <v>25.0</v>
      </c>
      <c r="D71" s="24">
        <v>26.0</v>
      </c>
      <c r="E71" s="24">
        <v>27.0</v>
      </c>
      <c r="F71" s="24">
        <v>28.0</v>
      </c>
      <c r="G71" s="24">
        <v>29.0</v>
      </c>
      <c r="H71" s="24">
        <v>30.0</v>
      </c>
      <c r="I71" s="24">
        <v>31.0</v>
      </c>
      <c r="J71" s="25" t="s">
        <v>20</v>
      </c>
      <c r="K71" s="25" t="s">
        <v>21</v>
      </c>
      <c r="L71" s="25" t="s">
        <v>17</v>
      </c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 ht="15.75" customHeight="1">
      <c r="B72" s="31" t="s">
        <v>6</v>
      </c>
      <c r="C72" s="32">
        <v>305000.0</v>
      </c>
      <c r="D72" s="34">
        <v>199200.0</v>
      </c>
      <c r="E72" s="34">
        <v>70000.0</v>
      </c>
      <c r="F72" s="34">
        <v>279000.0</v>
      </c>
      <c r="G72" s="34">
        <v>180000.0</v>
      </c>
      <c r="H72" s="34">
        <v>155500.0</v>
      </c>
      <c r="I72" s="85"/>
      <c r="J72" s="36">
        <f>sum(C72:I72)</f>
        <v>1188700</v>
      </c>
      <c r="K72" s="97">
        <v>1300000.0</v>
      </c>
      <c r="L72" s="37">
        <f>iferror(J72-K72,0)</f>
        <v>-111300</v>
      </c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 ht="15.75" customHeight="1">
      <c r="B73" s="41" t="s">
        <v>7</v>
      </c>
      <c r="C73" s="42">
        <v>2.0</v>
      </c>
      <c r="D73" s="44">
        <v>1.0</v>
      </c>
      <c r="E73" s="44">
        <v>2.0</v>
      </c>
      <c r="F73" s="44">
        <v>1.0</v>
      </c>
      <c r="G73" s="43"/>
      <c r="H73" s="44">
        <v>1.0</v>
      </c>
      <c r="I73" s="45"/>
      <c r="J73" s="46">
        <f t="shared" ref="J73:J79" si="20">if(sum(C73:I73) =0,"-",sum(C73:I73))</f>
        <v>7</v>
      </c>
      <c r="K73" s="46">
        <f>($F$5/DAY(DATE(YEAR(TODAY()),MONTH(TODAY())+1,0)))*(7-COUNTBLANK(C71:I71))</f>
        <v>8.166666667</v>
      </c>
      <c r="L73" s="46">
        <f t="shared" ref="L73:L80" si="21">iferror(J73-K73,"-")</f>
        <v>-1.166666667</v>
      </c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 ht="15.75" customHeight="1">
      <c r="B74" s="41" t="s">
        <v>8</v>
      </c>
      <c r="C74" s="48"/>
      <c r="D74" s="43"/>
      <c r="E74" s="43"/>
      <c r="F74" s="43"/>
      <c r="G74" s="43"/>
      <c r="H74" s="43"/>
      <c r="I74" s="45"/>
      <c r="J74" s="46" t="str">
        <f t="shared" si="20"/>
        <v>-</v>
      </c>
      <c r="K74" s="46">
        <f>($H$5/DAY(DATE(YEAR(TODAY()),MONTH(TODAY())+1,0)))*(7-COUNTBLANK(C71:I71))</f>
        <v>1.166666667</v>
      </c>
      <c r="L74" s="46" t="str">
        <f t="shared" si="21"/>
        <v>-</v>
      </c>
    </row>
    <row r="75" ht="15.75" customHeight="1">
      <c r="B75" s="51" t="s">
        <v>9</v>
      </c>
      <c r="C75" s="52"/>
      <c r="D75" s="53"/>
      <c r="E75" s="53"/>
      <c r="F75" s="53"/>
      <c r="G75" s="53"/>
      <c r="H75" s="53"/>
      <c r="I75" s="54"/>
      <c r="J75" s="46" t="str">
        <f t="shared" si="20"/>
        <v>-</v>
      </c>
      <c r="K75" s="55">
        <f>($J$5/DAY(DATE(YEAR(TODAY()),MONTH(TODAY())+1,0)))*(7-COUNTBLANK(C71:I71))</f>
        <v>0</v>
      </c>
      <c r="L75" s="46" t="str">
        <f t="shared" si="21"/>
        <v>-</v>
      </c>
    </row>
    <row r="76" ht="15.75" customHeight="1">
      <c r="B76" s="51" t="s">
        <v>10</v>
      </c>
      <c r="C76" s="52"/>
      <c r="D76" s="53"/>
      <c r="E76" s="53"/>
      <c r="F76" s="53"/>
      <c r="G76" s="53"/>
      <c r="H76" s="53"/>
      <c r="I76" s="54"/>
      <c r="J76" s="46" t="str">
        <f t="shared" si="20"/>
        <v>-</v>
      </c>
      <c r="K76" s="55">
        <f>($L$5/DAY(DATE(YEAR(TODAY()),MONTH(TODAY())+1,0)))*(7-COUNTBLANK(C71:I71))</f>
        <v>0</v>
      </c>
      <c r="L76" s="46" t="str">
        <f t="shared" si="21"/>
        <v>-</v>
      </c>
    </row>
    <row r="77" ht="15.75" customHeight="1">
      <c r="B77" s="41" t="s">
        <v>11</v>
      </c>
      <c r="C77" s="57">
        <v>1.0</v>
      </c>
      <c r="D77" s="53"/>
      <c r="E77" s="53"/>
      <c r="F77" s="58">
        <v>1.0</v>
      </c>
      <c r="G77" s="53"/>
      <c r="H77" s="53"/>
      <c r="I77" s="54"/>
      <c r="J77" s="46">
        <f t="shared" si="20"/>
        <v>2</v>
      </c>
      <c r="K77" s="55">
        <f>($N$5/DAY(DATE(YEAR(TODAY()),MONTH(TODAY())+1,0)))*(7-COUNTBLANK(C71:I71))</f>
        <v>1.166666667</v>
      </c>
      <c r="L77" s="46">
        <f t="shared" si="21"/>
        <v>0.8333333333</v>
      </c>
    </row>
    <row r="78" ht="15.75" customHeight="1">
      <c r="B78" s="56" t="s">
        <v>12</v>
      </c>
      <c r="C78" s="57">
        <v>2.0</v>
      </c>
      <c r="D78" s="58">
        <v>3.0</v>
      </c>
      <c r="E78" s="58">
        <v>1.0</v>
      </c>
      <c r="F78" s="58">
        <v>2.0</v>
      </c>
      <c r="G78" s="58">
        <v>1.0</v>
      </c>
      <c r="H78" s="58">
        <v>4.0</v>
      </c>
      <c r="I78" s="54"/>
      <c r="J78" s="46">
        <f t="shared" si="20"/>
        <v>13</v>
      </c>
      <c r="K78" s="55">
        <f>($P$5/DAY(DATE(YEAR(TODAY()),MONTH(TODAY())+1,0)))*(7-COUNTBLANK(C71:I71))</f>
        <v>10.5</v>
      </c>
      <c r="L78" s="46">
        <f t="shared" si="21"/>
        <v>2.5</v>
      </c>
    </row>
    <row r="79" ht="15.75" customHeight="1">
      <c r="B79" s="56" t="s">
        <v>13</v>
      </c>
      <c r="C79" s="57">
        <v>1.0</v>
      </c>
      <c r="D79" s="53"/>
      <c r="E79" s="53"/>
      <c r="F79" s="58">
        <v>1.0</v>
      </c>
      <c r="G79" s="58">
        <v>1.0</v>
      </c>
      <c r="H79" s="53"/>
      <c r="I79" s="54"/>
      <c r="J79" s="46">
        <f t="shared" si="20"/>
        <v>3</v>
      </c>
      <c r="K79" s="55">
        <f>($R$5/DAY(DATE(YEAR(TODAY()),MONTH(TODAY())+1,0)))*(7-COUNTBLANK(C71:I71))</f>
        <v>1.166666667</v>
      </c>
      <c r="L79" s="46">
        <f t="shared" si="21"/>
        <v>1.833333333</v>
      </c>
    </row>
    <row r="80" ht="15.75" customHeight="1">
      <c r="B80" s="61" t="s">
        <v>14</v>
      </c>
      <c r="C80" s="86">
        <f t="shared" ref="C80:I80" si="22">sum(C73:C79)</f>
        <v>6</v>
      </c>
      <c r="D80" s="63">
        <f t="shared" si="22"/>
        <v>4</v>
      </c>
      <c r="E80" s="63">
        <f t="shared" si="22"/>
        <v>3</v>
      </c>
      <c r="F80" s="63">
        <f t="shared" si="22"/>
        <v>5</v>
      </c>
      <c r="G80" s="63">
        <f t="shared" si="22"/>
        <v>2</v>
      </c>
      <c r="H80" s="63">
        <f t="shared" si="22"/>
        <v>5</v>
      </c>
      <c r="I80" s="83">
        <f t="shared" si="22"/>
        <v>0</v>
      </c>
      <c r="J80" s="66">
        <f>sum(C80:I80)</f>
        <v>25</v>
      </c>
      <c r="K80" s="67">
        <f>sum(K73:K79)</f>
        <v>22.16666667</v>
      </c>
      <c r="L80" s="67">
        <f t="shared" si="21"/>
        <v>2.833333333</v>
      </c>
    </row>
    <row r="81" ht="15.75" customHeight="1">
      <c r="B81" s="68" t="s">
        <v>15</v>
      </c>
      <c r="C81" s="69">
        <f t="shared" ref="C81:K81" si="23">iferror(C72/C80,0)</f>
        <v>50833.33333</v>
      </c>
      <c r="D81" s="70">
        <f t="shared" si="23"/>
        <v>49800</v>
      </c>
      <c r="E81" s="70">
        <f t="shared" si="23"/>
        <v>23333.33333</v>
      </c>
      <c r="F81" s="70">
        <f t="shared" si="23"/>
        <v>55800</v>
      </c>
      <c r="G81" s="70">
        <f t="shared" si="23"/>
        <v>90000</v>
      </c>
      <c r="H81" s="70">
        <f t="shared" si="23"/>
        <v>31100</v>
      </c>
      <c r="I81" s="71">
        <f t="shared" si="23"/>
        <v>0</v>
      </c>
      <c r="J81" s="72">
        <f t="shared" si="23"/>
        <v>47548</v>
      </c>
      <c r="K81" s="73">
        <f t="shared" si="23"/>
        <v>58646.61654</v>
      </c>
      <c r="L81" s="73">
        <f t="shared" ref="L81:L82" si="24">iferror(J81-K81,0)</f>
        <v>-11098.61654</v>
      </c>
    </row>
    <row r="82" ht="15.75" customHeight="1">
      <c r="B82" s="74" t="s">
        <v>33</v>
      </c>
      <c r="C82" s="75"/>
      <c r="D82" s="76"/>
      <c r="E82" s="76"/>
      <c r="F82" s="76"/>
      <c r="G82" s="76"/>
      <c r="H82" s="76"/>
      <c r="I82" s="77"/>
      <c r="J82" s="78"/>
      <c r="K82" s="78"/>
      <c r="L82" s="78">
        <f t="shared" si="24"/>
        <v>0</v>
      </c>
    </row>
    <row r="83" ht="15.75" customHeight="1"/>
    <row r="84" ht="15.75" customHeight="1"/>
    <row r="85" ht="15.75" customHeight="1">
      <c r="C85" s="79"/>
      <c r="K85" s="79"/>
      <c r="L85" s="79"/>
      <c r="M85" s="79"/>
    </row>
    <row r="86" ht="15.75" customHeight="1">
      <c r="C86" s="21" t="s">
        <v>37</v>
      </c>
      <c r="K86" s="79"/>
      <c r="L86" s="79"/>
      <c r="M86" s="79"/>
    </row>
    <row r="87" ht="15.75" customHeight="1">
      <c r="B87" s="106"/>
      <c r="C87" s="22" t="s">
        <v>19</v>
      </c>
      <c r="D87" s="80" t="s">
        <v>65</v>
      </c>
      <c r="E87" s="24" t="s">
        <v>66</v>
      </c>
      <c r="F87" s="84"/>
      <c r="G87" s="84"/>
      <c r="H87" s="84"/>
      <c r="I87" s="84"/>
      <c r="J87" s="84"/>
      <c r="K87" s="25" t="s">
        <v>20</v>
      </c>
      <c r="L87" s="25" t="s">
        <v>21</v>
      </c>
      <c r="M87" s="25" t="s">
        <v>17</v>
      </c>
    </row>
    <row r="88" ht="15.75" customHeight="1">
      <c r="C88" s="31" t="s">
        <v>6</v>
      </c>
      <c r="D88" s="89"/>
      <c r="E88" s="33"/>
      <c r="F88" s="33"/>
      <c r="G88" s="33"/>
      <c r="H88" s="33"/>
      <c r="I88" s="33"/>
      <c r="J88" s="85"/>
      <c r="K88" s="36">
        <f>sum(D88:J88)</f>
        <v>0</v>
      </c>
      <c r="L88" s="37">
        <f>($D$5/DAY(DATE(YEAR(TODAY()),MONTH(TODAY())+1,0)))*(7-COUNTBLANK(D87:J87))</f>
        <v>300000</v>
      </c>
      <c r="M88" s="37">
        <f>iferror(K88-L88,0)</f>
        <v>-300000</v>
      </c>
    </row>
    <row r="89" ht="15.75" customHeight="1">
      <c r="C89" s="41" t="s">
        <v>7</v>
      </c>
      <c r="D89" s="48"/>
      <c r="E89" s="43"/>
      <c r="F89" s="43"/>
      <c r="G89" s="43"/>
      <c r="H89" s="43"/>
      <c r="I89" s="43"/>
      <c r="J89" s="45"/>
      <c r="K89" s="46" t="str">
        <f t="shared" ref="K89:K95" si="25">if(sum(D89:J89) =0,"-",sum(D89:J89))</f>
        <v>-</v>
      </c>
      <c r="L89" s="46">
        <f>($F$5/DAY(DATE(YEAR(TODAY()),MONTH(TODAY())+1,0)))*(7-COUNTBLANK(D87:J87))</f>
        <v>2.333333333</v>
      </c>
      <c r="M89" s="46" t="str">
        <f t="shared" ref="M89:M96" si="26">iferror(K89-L89,"-")</f>
        <v>-</v>
      </c>
    </row>
    <row r="90" ht="15.75" customHeight="1">
      <c r="C90" s="41" t="s">
        <v>8</v>
      </c>
      <c r="D90" s="48"/>
      <c r="E90" s="43"/>
      <c r="F90" s="43"/>
      <c r="G90" s="43"/>
      <c r="H90" s="43"/>
      <c r="I90" s="43"/>
      <c r="J90" s="45"/>
      <c r="K90" s="46" t="str">
        <f t="shared" si="25"/>
        <v>-</v>
      </c>
      <c r="L90" s="46">
        <f>($H$5/DAY(DATE(YEAR(TODAY()),MONTH(TODAY())+1,0)))*(7-COUNTBLANK(D87:J87))</f>
        <v>0.3333333333</v>
      </c>
      <c r="M90" s="46" t="str">
        <f t="shared" si="26"/>
        <v>-</v>
      </c>
    </row>
    <row r="91" ht="15.75" customHeight="1">
      <c r="C91" s="51" t="s">
        <v>9</v>
      </c>
      <c r="D91" s="52"/>
      <c r="E91" s="53"/>
      <c r="F91" s="53"/>
      <c r="G91" s="53"/>
      <c r="H91" s="53"/>
      <c r="I91" s="53"/>
      <c r="J91" s="54"/>
      <c r="K91" s="46" t="str">
        <f t="shared" si="25"/>
        <v>-</v>
      </c>
      <c r="L91" s="55">
        <f>($J$5/DAY(DATE(YEAR(TODAY()),MONTH(TODAY())+1,0)))*(7-COUNTBLANK(D87:J87))</f>
        <v>0</v>
      </c>
      <c r="M91" s="46" t="str">
        <f t="shared" si="26"/>
        <v>-</v>
      </c>
    </row>
    <row r="92" ht="15.75" customHeight="1">
      <c r="C92" s="51" t="s">
        <v>10</v>
      </c>
      <c r="D92" s="52"/>
      <c r="E92" s="53"/>
      <c r="F92" s="53"/>
      <c r="G92" s="53"/>
      <c r="H92" s="53"/>
      <c r="I92" s="53"/>
      <c r="J92" s="54"/>
      <c r="K92" s="46" t="str">
        <f t="shared" si="25"/>
        <v>-</v>
      </c>
      <c r="L92" s="55">
        <f>($L$5/DAY(DATE(YEAR(TODAY()),MONTH(TODAY())+1,0)))*(7-COUNTBLANK(D87:J87))</f>
        <v>0</v>
      </c>
      <c r="M92" s="46" t="str">
        <f t="shared" si="26"/>
        <v>-</v>
      </c>
    </row>
    <row r="93" ht="15.75" customHeight="1">
      <c r="C93" s="41" t="s">
        <v>11</v>
      </c>
      <c r="D93" s="52"/>
      <c r="E93" s="53"/>
      <c r="F93" s="53"/>
      <c r="G93" s="53"/>
      <c r="H93" s="53"/>
      <c r="I93" s="53"/>
      <c r="J93" s="54"/>
      <c r="K93" s="46" t="str">
        <f t="shared" si="25"/>
        <v>-</v>
      </c>
      <c r="L93" s="55">
        <f>($N$5/DAY(DATE(YEAR(TODAY()),MONTH(TODAY())+1,0)))*(7-COUNTBLANK(D87:J87))</f>
        <v>0.3333333333</v>
      </c>
      <c r="M93" s="46" t="str">
        <f t="shared" si="26"/>
        <v>-</v>
      </c>
    </row>
    <row r="94" ht="15.75" customHeight="1">
      <c r="C94" s="56" t="s">
        <v>12</v>
      </c>
      <c r="D94" s="52"/>
      <c r="E94" s="53"/>
      <c r="F94" s="53"/>
      <c r="G94" s="53"/>
      <c r="H94" s="53"/>
      <c r="I94" s="53"/>
      <c r="J94" s="54"/>
      <c r="K94" s="46" t="str">
        <f t="shared" si="25"/>
        <v>-</v>
      </c>
      <c r="L94" s="55">
        <f>($P$5/DAY(DATE(YEAR(TODAY()),MONTH(TODAY())+1,0)))*(7-COUNTBLANK(D87:J87))</f>
        <v>3</v>
      </c>
      <c r="M94" s="46" t="str">
        <f t="shared" si="26"/>
        <v>-</v>
      </c>
    </row>
    <row r="95" ht="15.75" customHeight="1">
      <c r="C95" s="56" t="s">
        <v>13</v>
      </c>
      <c r="D95" s="52"/>
      <c r="E95" s="53"/>
      <c r="F95" s="53"/>
      <c r="G95" s="53"/>
      <c r="H95" s="53"/>
      <c r="I95" s="53"/>
      <c r="J95" s="54"/>
      <c r="K95" s="46" t="str">
        <f t="shared" si="25"/>
        <v>-</v>
      </c>
      <c r="L95" s="55">
        <f>($R$5/DAY(DATE(YEAR(TODAY()),MONTH(TODAY())+1,0)))*(7-COUNTBLANK(D87:J87))</f>
        <v>0.3333333333</v>
      </c>
      <c r="M95" s="46" t="str">
        <f t="shared" si="26"/>
        <v>-</v>
      </c>
    </row>
    <row r="96" ht="15.75" customHeight="1">
      <c r="C96" s="61" t="s">
        <v>14</v>
      </c>
      <c r="D96" s="86">
        <f t="shared" ref="D96:J96" si="27">sum(D89:D95)</f>
        <v>0</v>
      </c>
      <c r="E96" s="63">
        <f t="shared" si="27"/>
        <v>0</v>
      </c>
      <c r="F96" s="63">
        <f t="shared" si="27"/>
        <v>0</v>
      </c>
      <c r="G96" s="63">
        <f t="shared" si="27"/>
        <v>0</v>
      </c>
      <c r="H96" s="63">
        <f t="shared" si="27"/>
        <v>0</v>
      </c>
      <c r="I96" s="63">
        <f t="shared" si="27"/>
        <v>0</v>
      </c>
      <c r="J96" s="83">
        <f t="shared" si="27"/>
        <v>0</v>
      </c>
      <c r="K96" s="66">
        <f>sum(D96:J96)</f>
        <v>0</v>
      </c>
      <c r="L96" s="67">
        <f>sum(L89:L95)</f>
        <v>6.333333333</v>
      </c>
      <c r="M96" s="67">
        <f t="shared" si="26"/>
        <v>-6.333333333</v>
      </c>
    </row>
    <row r="97" ht="15.75" customHeight="1">
      <c r="C97" s="68" t="s">
        <v>15</v>
      </c>
      <c r="D97" s="69">
        <f t="shared" ref="D97:L97" si="28">iferror(D88/D96,0)</f>
        <v>0</v>
      </c>
      <c r="E97" s="70">
        <f t="shared" si="28"/>
        <v>0</v>
      </c>
      <c r="F97" s="70">
        <f t="shared" si="28"/>
        <v>0</v>
      </c>
      <c r="G97" s="70">
        <f t="shared" si="28"/>
        <v>0</v>
      </c>
      <c r="H97" s="70">
        <f t="shared" si="28"/>
        <v>0</v>
      </c>
      <c r="I97" s="70">
        <f t="shared" si="28"/>
        <v>0</v>
      </c>
      <c r="J97" s="71">
        <f t="shared" si="28"/>
        <v>0</v>
      </c>
      <c r="K97" s="72">
        <f t="shared" si="28"/>
        <v>0</v>
      </c>
      <c r="L97" s="73">
        <f t="shared" si="28"/>
        <v>47368.42105</v>
      </c>
      <c r="M97" s="73">
        <f t="shared" ref="M97:M98" si="29">iferror(K97-L97,0)</f>
        <v>-47368.42105</v>
      </c>
    </row>
    <row r="98" ht="15.75" customHeight="1">
      <c r="C98" s="74" t="s">
        <v>33</v>
      </c>
      <c r="D98" s="75"/>
      <c r="E98" s="76"/>
      <c r="F98" s="76"/>
      <c r="G98" s="76"/>
      <c r="H98" s="76"/>
      <c r="I98" s="76"/>
      <c r="J98" s="77"/>
      <c r="K98" s="78"/>
      <c r="L98" s="78"/>
      <c r="M98" s="78">
        <f t="shared" si="29"/>
        <v>0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V2"/>
    <mergeCell ref="E4:G4"/>
    <mergeCell ref="J4:L4"/>
    <mergeCell ref="U4:V4"/>
    <mergeCell ref="R28:V40"/>
  </mergeCells>
  <conditionalFormatting sqref="L11:L21 L26:L37 L42:L52 L57:L67 L72:L82 M88:M98">
    <cfRule type="cellIs" dxfId="0" priority="1" operator="greaterThan">
      <formula>0</formula>
    </cfRule>
  </conditionalFormatting>
  <conditionalFormatting sqref="L11:L21 L26:L37 L42:L52 L57:L67 L72:L82 M88:M98">
    <cfRule type="cellIs" dxfId="1" priority="2" operator="lessThan">
      <formula>0</formula>
    </cfRule>
  </conditionalFormatting>
  <conditionalFormatting sqref="D7 F7 H7 J7 L7 N7 P7 R7 T7 V7">
    <cfRule type="cellIs" dxfId="1" priority="3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87" t="s">
        <v>38</v>
      </c>
      <c r="C4" s="3">
        <v>5.0</v>
      </c>
      <c r="D4" s="4"/>
      <c r="E4" s="4" t="s">
        <v>1</v>
      </c>
      <c r="H4" s="4"/>
      <c r="I4" s="4" t="s">
        <v>2</v>
      </c>
      <c r="J4" s="4" t="s">
        <v>3</v>
      </c>
      <c r="M4" s="5"/>
      <c r="N4" s="5"/>
      <c r="O4" s="5"/>
      <c r="P4" s="5"/>
      <c r="Q4" s="5"/>
      <c r="R4" s="5"/>
      <c r="S4" s="5"/>
      <c r="T4" s="5"/>
      <c r="U4" s="5" t="s">
        <v>4</v>
      </c>
    </row>
    <row r="5" ht="15.75" customHeight="1">
      <c r="B5" s="6" t="s">
        <v>5</v>
      </c>
      <c r="C5" s="7" t="s">
        <v>6</v>
      </c>
      <c r="D5" s="8">
        <v>4000000.0</v>
      </c>
      <c r="E5" s="7" t="s">
        <v>7</v>
      </c>
      <c r="F5" s="9">
        <v>35.0</v>
      </c>
      <c r="G5" s="7" t="s">
        <v>8</v>
      </c>
      <c r="H5" s="9">
        <v>5.0</v>
      </c>
      <c r="I5" s="7" t="s">
        <v>9</v>
      </c>
      <c r="J5" s="10"/>
      <c r="K5" s="7" t="s">
        <v>10</v>
      </c>
      <c r="L5" s="10">
        <v>0.0</v>
      </c>
      <c r="M5" s="7" t="s">
        <v>11</v>
      </c>
      <c r="N5" s="9">
        <v>7.0</v>
      </c>
      <c r="O5" s="7" t="s">
        <v>12</v>
      </c>
      <c r="P5" s="9">
        <v>30.0</v>
      </c>
      <c r="Q5" s="7" t="s">
        <v>13</v>
      </c>
      <c r="R5" s="9">
        <v>3.0</v>
      </c>
      <c r="S5" s="7" t="s">
        <v>14</v>
      </c>
      <c r="T5" s="10">
        <f t="shared" ref="T5:T6" si="1">SUM(E5:R5)</f>
        <v>80</v>
      </c>
      <c r="U5" s="7" t="s">
        <v>15</v>
      </c>
      <c r="V5" s="11">
        <f>iferror(D5/T5,"-")</f>
        <v>50000</v>
      </c>
    </row>
    <row r="6" ht="15.75" customHeight="1">
      <c r="B6" s="12" t="s">
        <v>16</v>
      </c>
      <c r="C6" s="13" t="s">
        <v>6</v>
      </c>
      <c r="D6" s="14">
        <v>221000.0</v>
      </c>
      <c r="E6" s="13" t="s">
        <v>7</v>
      </c>
      <c r="F6" s="14">
        <v>2.0</v>
      </c>
      <c r="G6" s="13" t="s">
        <v>8</v>
      </c>
      <c r="H6" s="14">
        <v>2.0</v>
      </c>
      <c r="I6" s="13" t="s">
        <v>9</v>
      </c>
      <c r="J6" s="15"/>
      <c r="K6" s="13" t="s">
        <v>10</v>
      </c>
      <c r="L6" s="15">
        <f>IFERROR(__xludf.DUMMYFUNCTION("SUM(FILTER($J10:$J1023,$B10:$B1023=K6))"),0.0)</f>
        <v>0</v>
      </c>
      <c r="M6" s="13" t="s">
        <v>11</v>
      </c>
      <c r="N6" s="14">
        <v>5.0</v>
      </c>
      <c r="O6" s="13" t="s">
        <v>12</v>
      </c>
      <c r="P6" s="14">
        <v>51.0</v>
      </c>
      <c r="Q6" s="13" t="s">
        <v>13</v>
      </c>
      <c r="R6" s="14">
        <v>3.0</v>
      </c>
      <c r="S6" s="13" t="s">
        <v>14</v>
      </c>
      <c r="T6" s="15">
        <f t="shared" si="1"/>
        <v>63</v>
      </c>
      <c r="U6" s="13" t="s">
        <v>15</v>
      </c>
      <c r="V6" s="16">
        <f>iferror(D6/T6,0)</f>
        <v>3507.936508</v>
      </c>
    </row>
    <row r="7" ht="15.75" customHeight="1">
      <c r="B7" s="17" t="s">
        <v>17</v>
      </c>
      <c r="C7" s="18" t="s">
        <v>6</v>
      </c>
      <c r="D7" s="19">
        <f>D6-D5</f>
        <v>-3779000</v>
      </c>
      <c r="E7" s="18" t="s">
        <v>7</v>
      </c>
      <c r="F7" s="19">
        <f>F6-F5</f>
        <v>-33</v>
      </c>
      <c r="G7" s="18" t="s">
        <v>8</v>
      </c>
      <c r="H7" s="19">
        <f>H6-H5</f>
        <v>-3</v>
      </c>
      <c r="I7" s="18" t="s">
        <v>9</v>
      </c>
      <c r="J7" s="19">
        <f>J6-J5</f>
        <v>0</v>
      </c>
      <c r="K7" s="18" t="s">
        <v>10</v>
      </c>
      <c r="L7" s="19">
        <f>L6-L5</f>
        <v>0</v>
      </c>
      <c r="M7" s="18" t="s">
        <v>11</v>
      </c>
      <c r="N7" s="19">
        <f>N6-N5</f>
        <v>-2</v>
      </c>
      <c r="O7" s="18" t="s">
        <v>12</v>
      </c>
      <c r="P7" s="107">
        <v>21.0</v>
      </c>
      <c r="Q7" s="18" t="s">
        <v>13</v>
      </c>
      <c r="R7" s="19">
        <f>R6-P13</f>
        <v>3</v>
      </c>
      <c r="S7" s="18" t="s">
        <v>14</v>
      </c>
      <c r="T7" s="19">
        <f>T6-T5</f>
        <v>-17</v>
      </c>
      <c r="U7" s="18" t="s">
        <v>15</v>
      </c>
      <c r="V7" s="20">
        <f>V6-V5</f>
        <v>-46492.06349</v>
      </c>
    </row>
    <row r="8" ht="17.25" customHeight="1"/>
    <row r="9" ht="15.75" customHeight="1">
      <c r="B9" s="21" t="s">
        <v>18</v>
      </c>
    </row>
    <row r="10" ht="15.75" customHeight="1">
      <c r="B10" s="22" t="s">
        <v>19</v>
      </c>
      <c r="C10" s="108"/>
      <c r="D10" s="84"/>
      <c r="E10" s="84"/>
      <c r="F10" s="84" t="str">
        <f t="shared" ref="F10:I10" si="2">left(E10,2)+1&amp;" ("&amp;text(DATE(2021,LEFT($C$4,1),LEFT(E10,2)+1),"ddd")&amp;")"</f>
        <v>1 (토)</v>
      </c>
      <c r="G10" s="84" t="str">
        <f t="shared" si="2"/>
        <v>2 (일)</v>
      </c>
      <c r="H10" s="84" t="str">
        <f t="shared" si="2"/>
        <v>3 (월)</v>
      </c>
      <c r="I10" s="84" t="str">
        <f t="shared" si="2"/>
        <v>4 (화)</v>
      </c>
      <c r="J10" s="25" t="s">
        <v>20</v>
      </c>
      <c r="K10" s="25" t="s">
        <v>21</v>
      </c>
      <c r="L10" s="25" t="s">
        <v>17</v>
      </c>
      <c r="N10" s="26" t="s">
        <v>22</v>
      </c>
      <c r="O10" s="27">
        <f>SUM(O11:O80)</f>
        <v>67000</v>
      </c>
      <c r="Q10" s="28"/>
      <c r="R10" s="29"/>
      <c r="S10" s="30" t="s">
        <v>6</v>
      </c>
      <c r="T10" s="30" t="s">
        <v>12</v>
      </c>
      <c r="U10" s="30" t="s">
        <v>7</v>
      </c>
    </row>
    <row r="11" ht="15.75" customHeight="1">
      <c r="B11" s="31" t="s">
        <v>6</v>
      </c>
      <c r="C11" s="89"/>
      <c r="D11" s="33"/>
      <c r="E11" s="33"/>
      <c r="F11" s="34">
        <v>154000.0</v>
      </c>
      <c r="G11" s="34">
        <v>195000.0</v>
      </c>
      <c r="H11" s="34">
        <v>140000.0</v>
      </c>
      <c r="I11" s="35">
        <v>97550.0</v>
      </c>
      <c r="J11" s="36">
        <f>sum(C11:I11)</f>
        <v>586550</v>
      </c>
      <c r="K11" s="97">
        <v>600000.0</v>
      </c>
      <c r="L11" s="37">
        <f>iferror(J11-K11,0)</f>
        <v>-13450</v>
      </c>
      <c r="N11" s="38">
        <v>44287.0</v>
      </c>
      <c r="O11" s="39">
        <v>32000.0</v>
      </c>
      <c r="Q11" s="28"/>
      <c r="R11" s="92" t="s">
        <v>67</v>
      </c>
      <c r="S11" s="93">
        <v>3301468.0</v>
      </c>
      <c r="T11" s="93">
        <v>51.0</v>
      </c>
      <c r="U11" s="93">
        <v>32.0</v>
      </c>
    </row>
    <row r="12" ht="15.75" customHeight="1">
      <c r="B12" s="41" t="s">
        <v>7</v>
      </c>
      <c r="C12" s="48"/>
      <c r="D12" s="43"/>
      <c r="E12" s="43"/>
      <c r="F12" s="44">
        <v>3.0</v>
      </c>
      <c r="G12" s="44">
        <v>1.0</v>
      </c>
      <c r="H12" s="44">
        <v>1.0</v>
      </c>
      <c r="I12" s="81">
        <v>1.0</v>
      </c>
      <c r="J12" s="46">
        <f t="shared" ref="J12:J18" si="3">if(sum(C12:I12) =0,"-",sum(C12:I12))</f>
        <v>6</v>
      </c>
      <c r="K12" s="98">
        <v>7.0</v>
      </c>
      <c r="L12" s="46">
        <f t="shared" ref="L12:L19" si="4">iferror(J12-K12,"-")</f>
        <v>-1</v>
      </c>
      <c r="N12" s="101">
        <v>44300.0</v>
      </c>
      <c r="O12" s="95">
        <v>35000.0</v>
      </c>
      <c r="R12" s="92" t="s">
        <v>68</v>
      </c>
      <c r="S12" s="93">
        <v>2315340.0</v>
      </c>
      <c r="T12" s="93">
        <v>17.0</v>
      </c>
      <c r="U12" s="93">
        <v>38.0</v>
      </c>
    </row>
    <row r="13" ht="15.75" customHeight="1">
      <c r="B13" s="41" t="s">
        <v>8</v>
      </c>
      <c r="C13" s="48"/>
      <c r="D13" s="43"/>
      <c r="E13" s="43"/>
      <c r="F13" s="43"/>
      <c r="G13" s="43"/>
      <c r="H13" s="44">
        <v>1.0</v>
      </c>
      <c r="I13" s="81">
        <v>1.0</v>
      </c>
      <c r="J13" s="46">
        <f t="shared" si="3"/>
        <v>2</v>
      </c>
      <c r="K13" s="98">
        <v>1.0</v>
      </c>
      <c r="L13" s="46">
        <f t="shared" si="4"/>
        <v>1</v>
      </c>
      <c r="N13" s="49"/>
      <c r="O13" s="47"/>
      <c r="R13" s="96" t="s">
        <v>23</v>
      </c>
      <c r="S13" s="93">
        <v>282000.0</v>
      </c>
      <c r="T13" s="93">
        <v>4.0</v>
      </c>
      <c r="U13" s="93">
        <v>10.0</v>
      </c>
    </row>
    <row r="14" ht="15.75" customHeight="1">
      <c r="B14" s="51" t="s">
        <v>9</v>
      </c>
      <c r="C14" s="52"/>
      <c r="D14" s="53"/>
      <c r="E14" s="53"/>
      <c r="F14" s="53"/>
      <c r="G14" s="53"/>
      <c r="H14" s="53"/>
      <c r="I14" s="54"/>
      <c r="J14" s="46" t="str">
        <f t="shared" si="3"/>
        <v>-</v>
      </c>
      <c r="K14" s="99">
        <v>1.0</v>
      </c>
      <c r="L14" s="46" t="str">
        <f t="shared" si="4"/>
        <v>-</v>
      </c>
      <c r="N14" s="49"/>
      <c r="O14" s="47"/>
      <c r="R14" s="50"/>
      <c r="S14" s="50"/>
      <c r="T14" s="50"/>
      <c r="U14" s="50"/>
    </row>
    <row r="15" ht="15.75" customHeight="1">
      <c r="B15" s="51" t="s">
        <v>10</v>
      </c>
      <c r="C15" s="52"/>
      <c r="D15" s="53"/>
      <c r="E15" s="53"/>
      <c r="F15" s="53"/>
      <c r="G15" s="53"/>
      <c r="H15" s="53"/>
      <c r="I15" s="54"/>
      <c r="J15" s="46" t="str">
        <f t="shared" si="3"/>
        <v>-</v>
      </c>
      <c r="K15" s="55">
        <f>($L$5/DAY(DATE(YEAR(TODAY()),MONTH(TODAY())+1,0)))*(7-COUNTBLANK(C10:I10))</f>
        <v>0</v>
      </c>
      <c r="L15" s="46" t="str">
        <f t="shared" si="4"/>
        <v>-</v>
      </c>
      <c r="N15" s="49"/>
      <c r="O15" s="47"/>
      <c r="R15" s="50" t="s">
        <v>26</v>
      </c>
      <c r="S15" s="40">
        <f>AVERAGE(S11:S13)</f>
        <v>1966269.333</v>
      </c>
      <c r="T15" s="50"/>
      <c r="U15" s="50"/>
    </row>
    <row r="16" ht="15.75" customHeight="1">
      <c r="B16" s="41" t="s">
        <v>11</v>
      </c>
      <c r="C16" s="52"/>
      <c r="D16" s="53"/>
      <c r="E16" s="53"/>
      <c r="F16" s="53"/>
      <c r="G16" s="58">
        <v>1.0</v>
      </c>
      <c r="H16" s="53"/>
      <c r="I16" s="54"/>
      <c r="J16" s="46">
        <f t="shared" si="3"/>
        <v>1</v>
      </c>
      <c r="K16" s="55">
        <f>($N$5/DAY(DATE(YEAR(TODAY()),MONTH(TODAY())+1,0)))*(7-COUNTBLANK(C10:I10))</f>
        <v>0.9333333333</v>
      </c>
      <c r="L16" s="46">
        <f t="shared" si="4"/>
        <v>0.06666666667</v>
      </c>
      <c r="N16" s="49"/>
      <c r="O16" s="47"/>
      <c r="R16" s="50" t="s">
        <v>27</v>
      </c>
      <c r="S16" s="40">
        <f>AVERAGE(T11:T13)</f>
        <v>24</v>
      </c>
      <c r="T16" s="50"/>
      <c r="U16" s="50"/>
    </row>
    <row r="17" ht="15.75" customHeight="1">
      <c r="B17" s="56" t="s">
        <v>12</v>
      </c>
      <c r="C17" s="52"/>
      <c r="D17" s="53"/>
      <c r="E17" s="53"/>
      <c r="F17" s="58">
        <v>3.0</v>
      </c>
      <c r="G17" s="53"/>
      <c r="H17" s="53"/>
      <c r="I17" s="54"/>
      <c r="J17" s="46">
        <f t="shared" si="3"/>
        <v>3</v>
      </c>
      <c r="K17" s="99">
        <v>6.0</v>
      </c>
      <c r="L17" s="46">
        <f t="shared" si="4"/>
        <v>-3</v>
      </c>
      <c r="N17" s="49"/>
      <c r="O17" s="47"/>
      <c r="R17" s="50"/>
      <c r="S17" s="50"/>
      <c r="T17" s="50"/>
      <c r="U17" s="50"/>
    </row>
    <row r="18" ht="15.75" customHeight="1">
      <c r="B18" s="56" t="s">
        <v>13</v>
      </c>
      <c r="C18" s="52"/>
      <c r="D18" s="53"/>
      <c r="E18" s="53"/>
      <c r="F18" s="53"/>
      <c r="G18" s="53"/>
      <c r="H18" s="53"/>
      <c r="I18" s="54"/>
      <c r="J18" s="46" t="str">
        <f t="shared" si="3"/>
        <v>-</v>
      </c>
      <c r="K18" s="99">
        <v>1.0</v>
      </c>
      <c r="L18" s="46" t="str">
        <f t="shared" si="4"/>
        <v>-</v>
      </c>
      <c r="N18" s="49"/>
      <c r="O18" s="47"/>
      <c r="R18" s="50" t="s">
        <v>28</v>
      </c>
      <c r="S18" s="60">
        <f>(P6+R6)/U11</f>
        <v>1.6875</v>
      </c>
      <c r="T18" s="50"/>
      <c r="U18" s="50" t="s">
        <v>29</v>
      </c>
    </row>
    <row r="19" ht="15.75" customHeight="1">
      <c r="B19" s="61" t="s">
        <v>14</v>
      </c>
      <c r="C19" s="86">
        <f t="shared" ref="C19:E19" si="5">sum(C12:C18)</f>
        <v>0</v>
      </c>
      <c r="D19" s="63">
        <f t="shared" si="5"/>
        <v>0</v>
      </c>
      <c r="E19" s="63">
        <f t="shared" si="5"/>
        <v>0</v>
      </c>
      <c r="F19" s="64">
        <v>5.0</v>
      </c>
      <c r="G19" s="64">
        <v>3.0</v>
      </c>
      <c r="H19" s="64">
        <v>3.0</v>
      </c>
      <c r="I19" s="65">
        <v>3.0</v>
      </c>
      <c r="J19" s="66">
        <f>sum(C19:I19)</f>
        <v>14</v>
      </c>
      <c r="K19" s="109">
        <v>15.0</v>
      </c>
      <c r="L19" s="67">
        <f t="shared" si="4"/>
        <v>-1</v>
      </c>
      <c r="N19" s="49"/>
      <c r="O19" s="47"/>
      <c r="R19" s="50" t="s">
        <v>30</v>
      </c>
      <c r="S19" s="60">
        <f>D6/D5</f>
        <v>0.05525</v>
      </c>
      <c r="T19" s="50"/>
      <c r="U19" s="50"/>
    </row>
    <row r="20" ht="15.75" customHeight="1">
      <c r="B20" s="68" t="s">
        <v>15</v>
      </c>
      <c r="C20" s="69">
        <f t="shared" ref="C20:K20" si="6">iferror(C11/C19,0)</f>
        <v>0</v>
      </c>
      <c r="D20" s="70">
        <f t="shared" si="6"/>
        <v>0</v>
      </c>
      <c r="E20" s="70">
        <f t="shared" si="6"/>
        <v>0</v>
      </c>
      <c r="F20" s="70">
        <f t="shared" si="6"/>
        <v>30800</v>
      </c>
      <c r="G20" s="70">
        <f t="shared" si="6"/>
        <v>65000</v>
      </c>
      <c r="H20" s="70">
        <f t="shared" si="6"/>
        <v>46666.66667</v>
      </c>
      <c r="I20" s="71">
        <f t="shared" si="6"/>
        <v>32516.66667</v>
      </c>
      <c r="J20" s="72">
        <f t="shared" si="6"/>
        <v>41896.42857</v>
      </c>
      <c r="K20" s="73">
        <f t="shared" si="6"/>
        <v>40000</v>
      </c>
      <c r="L20" s="73">
        <f t="shared" ref="L20:L21" si="7">iferror(J20-K20,0)</f>
        <v>1896.428571</v>
      </c>
      <c r="N20" s="13"/>
      <c r="O20" s="47"/>
      <c r="R20" s="50" t="s">
        <v>31</v>
      </c>
      <c r="S20" s="60">
        <f>((D6/S11)-1)</f>
        <v>-0.9330600812</v>
      </c>
      <c r="T20" s="50"/>
      <c r="U20" s="50" t="s">
        <v>32</v>
      </c>
    </row>
    <row r="21" ht="15.75" customHeight="1">
      <c r="B21" s="74" t="s">
        <v>33</v>
      </c>
      <c r="C21" s="75"/>
      <c r="D21" s="76"/>
      <c r="E21" s="76"/>
      <c r="F21" s="110">
        <v>300000.0</v>
      </c>
      <c r="G21" s="76"/>
      <c r="H21" s="76"/>
      <c r="I21" s="77"/>
      <c r="J21" s="78"/>
      <c r="K21" s="78"/>
      <c r="L21" s="78">
        <f t="shared" si="7"/>
        <v>0</v>
      </c>
      <c r="M21" s="79"/>
      <c r="N21" s="49"/>
      <c r="O21" s="47"/>
      <c r="P21" s="79"/>
      <c r="Q21" s="79"/>
      <c r="R21" s="79"/>
      <c r="S21" s="79"/>
      <c r="T21" s="79"/>
      <c r="U21" s="79"/>
      <c r="V21" s="79"/>
    </row>
    <row r="22" ht="18.0" customHeight="1">
      <c r="B22" s="79"/>
      <c r="J22" s="79"/>
      <c r="K22" s="79"/>
      <c r="L22" s="79"/>
      <c r="M22" s="79"/>
      <c r="N22" s="13"/>
      <c r="O22" s="47"/>
      <c r="P22" s="79"/>
      <c r="Q22" s="79"/>
      <c r="R22" s="79"/>
      <c r="T22" s="79"/>
      <c r="U22" s="79"/>
      <c r="V22" s="79"/>
    </row>
    <row r="23" ht="15.75" customHeight="1">
      <c r="B23" s="21" t="s">
        <v>34</v>
      </c>
      <c r="J23" s="79"/>
      <c r="K23" s="79"/>
      <c r="L23" s="79"/>
      <c r="N23" s="13"/>
      <c r="O23" s="47"/>
    </row>
    <row r="24" ht="15.75" customHeight="1">
      <c r="B24" s="22" t="s">
        <v>19</v>
      </c>
      <c r="C24" s="111" t="str">
        <f>left(I10,2)+1&amp;" ("&amp;text(DATE(2021,LEFT($C$4,1),LEFT(I10,1)+1),"ddd")&amp;")"</f>
        <v>5 (수)</v>
      </c>
      <c r="D24" s="84" t="str">
        <f t="shared" ref="D24:I24" si="8">left(C24,2)+1&amp;" ("&amp;text(DATE(2021,LEFT($C$4,1),LEFT(C24,2)+1),"ddd")&amp;")"</f>
        <v>6 (목)</v>
      </c>
      <c r="E24" s="84" t="str">
        <f t="shared" si="8"/>
        <v>7 (금)</v>
      </c>
      <c r="F24" s="84" t="str">
        <f t="shared" si="8"/>
        <v>8 (토)</v>
      </c>
      <c r="G24" s="84" t="str">
        <f t="shared" si="8"/>
        <v>9 (일)</v>
      </c>
      <c r="H24" s="84" t="str">
        <f t="shared" si="8"/>
        <v>10 (월)</v>
      </c>
      <c r="I24" s="84" t="str">
        <f t="shared" si="8"/>
        <v>11 (화)</v>
      </c>
      <c r="J24" s="25" t="s">
        <v>20</v>
      </c>
      <c r="K24" s="25" t="s">
        <v>21</v>
      </c>
      <c r="L24" s="25" t="s">
        <v>17</v>
      </c>
      <c r="N24" s="50"/>
      <c r="O24" s="50"/>
    </row>
    <row r="25" ht="15.75" customHeight="1">
      <c r="B25" s="31" t="s">
        <v>6</v>
      </c>
      <c r="C25" s="89"/>
      <c r="D25" s="33"/>
      <c r="E25" s="34">
        <v>169000.0</v>
      </c>
      <c r="F25" s="34">
        <v>70000.0</v>
      </c>
      <c r="G25" s="34">
        <v>175000.0</v>
      </c>
      <c r="H25" s="34">
        <v>115500.0</v>
      </c>
      <c r="I25" s="35">
        <v>131550.0</v>
      </c>
      <c r="J25" s="36">
        <f>sum(C25:I25)</f>
        <v>661050</v>
      </c>
      <c r="K25" s="97">
        <v>600000.0</v>
      </c>
      <c r="L25" s="37">
        <f>iferror(J25-K25,0)</f>
        <v>61050</v>
      </c>
      <c r="N25" s="50"/>
      <c r="O25" s="50"/>
    </row>
    <row r="26" ht="15.75" customHeight="1">
      <c r="B26" s="41" t="s">
        <v>7</v>
      </c>
      <c r="C26" s="48"/>
      <c r="D26" s="43"/>
      <c r="E26" s="44">
        <v>1.0</v>
      </c>
      <c r="F26" s="44"/>
      <c r="G26" s="44">
        <v>1.0</v>
      </c>
      <c r="H26" s="43"/>
      <c r="I26" s="81">
        <v>4.0</v>
      </c>
      <c r="J26" s="46">
        <f t="shared" ref="J26:J32" si="9">if(sum(C26:I26) =0,"-",sum(C26:I26))</f>
        <v>6</v>
      </c>
      <c r="K26" s="98">
        <v>7.0</v>
      </c>
      <c r="L26" s="46">
        <f t="shared" ref="L26:L33" si="10">iferror(J26-K26,"-")</f>
        <v>-1</v>
      </c>
      <c r="N26" s="50"/>
      <c r="O26" s="50"/>
    </row>
    <row r="27" ht="15.75" customHeight="1">
      <c r="B27" s="41" t="s">
        <v>8</v>
      </c>
      <c r="C27" s="48"/>
      <c r="D27" s="43"/>
      <c r="E27" s="43"/>
      <c r="F27" s="43"/>
      <c r="G27" s="43"/>
      <c r="H27" s="43"/>
      <c r="I27" s="45"/>
      <c r="J27" s="46" t="str">
        <f t="shared" si="9"/>
        <v>-</v>
      </c>
      <c r="K27" s="98">
        <v>1.0</v>
      </c>
      <c r="L27" s="46" t="str">
        <f t="shared" si="10"/>
        <v>-</v>
      </c>
      <c r="N27" s="50"/>
      <c r="O27" s="50"/>
    </row>
    <row r="28" ht="15.75" customHeight="1">
      <c r="B28" s="51" t="s">
        <v>9</v>
      </c>
      <c r="C28" s="52"/>
      <c r="D28" s="53"/>
      <c r="E28" s="53"/>
      <c r="F28" s="53"/>
      <c r="G28" s="53"/>
      <c r="H28" s="53"/>
      <c r="I28" s="54"/>
      <c r="J28" s="46" t="str">
        <f t="shared" si="9"/>
        <v>-</v>
      </c>
      <c r="K28" s="99">
        <v>1.0</v>
      </c>
      <c r="L28" s="46" t="str">
        <f t="shared" si="10"/>
        <v>-</v>
      </c>
      <c r="N28" s="50"/>
      <c r="O28" s="50"/>
      <c r="R28" s="82"/>
    </row>
    <row r="29" ht="15.75" customHeight="1">
      <c r="B29" s="51" t="s">
        <v>10</v>
      </c>
      <c r="C29" s="52"/>
      <c r="D29" s="53"/>
      <c r="E29" s="53"/>
      <c r="F29" s="53"/>
      <c r="G29" s="53"/>
      <c r="H29" s="53"/>
      <c r="I29" s="54"/>
      <c r="J29" s="46" t="str">
        <f t="shared" si="9"/>
        <v>-</v>
      </c>
      <c r="K29" s="55">
        <f>($L$5/DAY(DATE(YEAR(TODAY()),MONTH(TODAY())+1,0)))*(7-COUNTBLANK(C24:I24))</f>
        <v>0</v>
      </c>
      <c r="L29" s="46" t="str">
        <f t="shared" si="10"/>
        <v>-</v>
      </c>
      <c r="N29" s="50"/>
      <c r="O29" s="50"/>
    </row>
    <row r="30" ht="15.75" customHeight="1">
      <c r="B30" s="41" t="s">
        <v>11</v>
      </c>
      <c r="C30" s="52"/>
      <c r="D30" s="53"/>
      <c r="E30" s="58">
        <v>1.0</v>
      </c>
      <c r="F30" s="58">
        <v>1.0</v>
      </c>
      <c r="G30" s="53"/>
      <c r="H30" s="53"/>
      <c r="I30" s="54"/>
      <c r="J30" s="46">
        <f t="shared" si="9"/>
        <v>2</v>
      </c>
      <c r="K30" s="55">
        <f>($N$5/DAY(DATE(YEAR(TODAY()),MONTH(TODAY())+1,0)))*(7-COUNTBLANK(C24:I24))</f>
        <v>1.633333333</v>
      </c>
      <c r="L30" s="46">
        <f t="shared" si="10"/>
        <v>0.3666666667</v>
      </c>
      <c r="N30" s="50"/>
      <c r="O30" s="50"/>
    </row>
    <row r="31" ht="15.75" customHeight="1">
      <c r="B31" s="56" t="s">
        <v>12</v>
      </c>
      <c r="C31" s="52"/>
      <c r="D31" s="53"/>
      <c r="E31" s="58">
        <v>3.0</v>
      </c>
      <c r="F31" s="58">
        <v>2.0</v>
      </c>
      <c r="G31" s="58">
        <v>1.0</v>
      </c>
      <c r="H31" s="58">
        <v>2.0</v>
      </c>
      <c r="I31" s="54"/>
      <c r="J31" s="46">
        <f t="shared" si="9"/>
        <v>8</v>
      </c>
      <c r="K31" s="99">
        <v>6.0</v>
      </c>
      <c r="L31" s="46">
        <f t="shared" si="10"/>
        <v>2</v>
      </c>
      <c r="M31" s="79"/>
      <c r="N31" s="30"/>
      <c r="O31" s="30"/>
      <c r="P31" s="79"/>
      <c r="Q31" s="79"/>
      <c r="R31" s="79"/>
      <c r="S31" s="79"/>
      <c r="T31" s="79"/>
      <c r="U31" s="79"/>
      <c r="V31" s="79"/>
    </row>
    <row r="32" ht="18.75" customHeight="1">
      <c r="B32" s="56" t="s">
        <v>13</v>
      </c>
      <c r="C32" s="52"/>
      <c r="D32" s="53"/>
      <c r="E32" s="58">
        <v>1.0</v>
      </c>
      <c r="F32" s="53"/>
      <c r="G32" s="53"/>
      <c r="H32" s="58">
        <v>1.0</v>
      </c>
      <c r="I32" s="54"/>
      <c r="J32" s="46">
        <f t="shared" si="9"/>
        <v>2</v>
      </c>
      <c r="K32" s="99">
        <v>1.0</v>
      </c>
      <c r="L32" s="46">
        <f t="shared" si="10"/>
        <v>1</v>
      </c>
      <c r="M32" s="79"/>
      <c r="N32" s="30"/>
      <c r="O32" s="30"/>
      <c r="P32" s="79"/>
      <c r="Q32" s="79"/>
      <c r="R32" s="79"/>
      <c r="S32" s="79"/>
      <c r="T32" s="79"/>
      <c r="U32" s="79"/>
      <c r="V32" s="79"/>
    </row>
    <row r="33" ht="18.75" customHeight="1">
      <c r="B33" s="61" t="s">
        <v>14</v>
      </c>
      <c r="C33" s="86">
        <f t="shared" ref="C33:I33" si="11">sum(C26:C32)</f>
        <v>0</v>
      </c>
      <c r="D33" s="63">
        <f t="shared" si="11"/>
        <v>0</v>
      </c>
      <c r="E33" s="63">
        <f t="shared" si="11"/>
        <v>6</v>
      </c>
      <c r="F33" s="63">
        <f t="shared" si="11"/>
        <v>3</v>
      </c>
      <c r="G33" s="63">
        <f t="shared" si="11"/>
        <v>2</v>
      </c>
      <c r="H33" s="63">
        <f t="shared" si="11"/>
        <v>3</v>
      </c>
      <c r="I33" s="83">
        <f t="shared" si="11"/>
        <v>4</v>
      </c>
      <c r="J33" s="66">
        <f>sum(C33:I33)</f>
        <v>18</v>
      </c>
      <c r="K33" s="67">
        <f>sum(K26:K32)</f>
        <v>17.63333333</v>
      </c>
      <c r="L33" s="67">
        <f t="shared" si="10"/>
        <v>0.3666666667</v>
      </c>
      <c r="M33" s="79"/>
      <c r="N33" s="30"/>
      <c r="O33" s="30"/>
      <c r="P33" s="79"/>
      <c r="Q33" s="79"/>
      <c r="R33" s="79"/>
      <c r="S33" s="79"/>
      <c r="T33" s="79"/>
      <c r="U33" s="79"/>
      <c r="V33" s="79"/>
    </row>
    <row r="34" ht="18.75" customHeight="1">
      <c r="B34" s="68" t="s">
        <v>15</v>
      </c>
      <c r="C34" s="69">
        <f t="shared" ref="C34:K34" si="12">iferror(C25/C33,0)</f>
        <v>0</v>
      </c>
      <c r="D34" s="70">
        <f t="shared" si="12"/>
        <v>0</v>
      </c>
      <c r="E34" s="70">
        <f t="shared" si="12"/>
        <v>28166.66667</v>
      </c>
      <c r="F34" s="70">
        <f t="shared" si="12"/>
        <v>23333.33333</v>
      </c>
      <c r="G34" s="70">
        <f t="shared" si="12"/>
        <v>87500</v>
      </c>
      <c r="H34" s="70">
        <f t="shared" si="12"/>
        <v>38500</v>
      </c>
      <c r="I34" s="71">
        <f t="shared" si="12"/>
        <v>32887.5</v>
      </c>
      <c r="J34" s="72">
        <f t="shared" si="12"/>
        <v>36725</v>
      </c>
      <c r="K34" s="73">
        <f t="shared" si="12"/>
        <v>34026.46503</v>
      </c>
      <c r="L34" s="73">
        <f t="shared" ref="L34:L35" si="13">iferror(J34-K34,0)</f>
        <v>2698.534972</v>
      </c>
      <c r="M34" s="79"/>
      <c r="N34" s="30"/>
      <c r="O34" s="30"/>
      <c r="P34" s="79"/>
      <c r="Q34" s="79"/>
      <c r="R34" s="79"/>
      <c r="S34" s="79"/>
      <c r="T34" s="79"/>
      <c r="U34" s="79"/>
      <c r="V34" s="79"/>
    </row>
    <row r="35" ht="18.75" customHeight="1">
      <c r="B35" s="74" t="s">
        <v>33</v>
      </c>
      <c r="C35" s="75"/>
      <c r="D35" s="76"/>
      <c r="E35" s="76"/>
      <c r="F35" s="76"/>
      <c r="G35" s="76"/>
      <c r="H35" s="76"/>
      <c r="I35" s="77"/>
      <c r="J35" s="78"/>
      <c r="K35" s="78"/>
      <c r="L35" s="78">
        <f t="shared" si="13"/>
        <v>0</v>
      </c>
      <c r="M35" s="79"/>
      <c r="N35" s="30"/>
      <c r="O35" s="30"/>
      <c r="P35" s="79"/>
      <c r="Q35" s="79"/>
      <c r="R35" s="79"/>
      <c r="S35" s="79"/>
      <c r="T35" s="79"/>
      <c r="U35" s="79"/>
      <c r="V35" s="79"/>
    </row>
    <row r="36" ht="18.75" customHeight="1">
      <c r="B36" s="21"/>
      <c r="J36" s="79"/>
      <c r="K36" s="79"/>
      <c r="L36" s="79"/>
      <c r="M36" s="79"/>
      <c r="N36" s="30"/>
      <c r="O36" s="30"/>
      <c r="P36" s="79"/>
      <c r="Q36" s="79"/>
      <c r="R36" s="79"/>
      <c r="S36" s="79"/>
      <c r="T36" s="79"/>
      <c r="U36" s="79"/>
      <c r="V36" s="79"/>
    </row>
    <row r="37" ht="18.75" customHeight="1">
      <c r="B37" s="21"/>
      <c r="J37" s="79"/>
      <c r="K37" s="79"/>
      <c r="L37" s="79"/>
      <c r="M37" s="79"/>
      <c r="N37" s="30"/>
      <c r="O37" s="30"/>
      <c r="P37" s="79"/>
      <c r="Q37" s="79"/>
      <c r="R37" s="79"/>
      <c r="S37" s="79"/>
      <c r="T37" s="79"/>
      <c r="U37" s="79"/>
      <c r="V37" s="79"/>
    </row>
    <row r="38" ht="15.75" customHeight="1">
      <c r="B38" s="21" t="s">
        <v>35</v>
      </c>
      <c r="J38" s="79"/>
      <c r="K38" s="79"/>
      <c r="L38" s="79"/>
      <c r="M38" s="79"/>
      <c r="N38" s="30"/>
      <c r="O38" s="30"/>
      <c r="P38" s="79"/>
      <c r="Q38" s="79"/>
      <c r="R38" s="79"/>
      <c r="S38" s="79"/>
      <c r="T38" s="79"/>
      <c r="U38" s="79"/>
      <c r="V38" s="79"/>
    </row>
    <row r="39" ht="15.75" customHeight="1">
      <c r="B39" s="22" t="s">
        <v>19</v>
      </c>
      <c r="C39" s="80" t="s">
        <v>69</v>
      </c>
      <c r="D39" s="84" t="str">
        <f t="shared" ref="D39:I39" si="14">left(C39,2)+1&amp;" ("&amp;text(DATE(2021,LEFT($C$4,1),LEFT(C39,2)+1),"ddd")&amp;")"</f>
        <v>13 (목)</v>
      </c>
      <c r="E39" s="84" t="str">
        <f t="shared" si="14"/>
        <v>14 (금)</v>
      </c>
      <c r="F39" s="84" t="str">
        <f t="shared" si="14"/>
        <v>15 (토)</v>
      </c>
      <c r="G39" s="84" t="str">
        <f t="shared" si="14"/>
        <v>16 (일)</v>
      </c>
      <c r="H39" s="84" t="str">
        <f t="shared" si="14"/>
        <v>17 (월)</v>
      </c>
      <c r="I39" s="84" t="str">
        <f t="shared" si="14"/>
        <v>18 (화)</v>
      </c>
      <c r="J39" s="25" t="s">
        <v>20</v>
      </c>
      <c r="K39" s="25" t="s">
        <v>21</v>
      </c>
      <c r="L39" s="25" t="s">
        <v>17</v>
      </c>
      <c r="N39" s="50"/>
      <c r="O39" s="50"/>
    </row>
    <row r="40" ht="15.75" customHeight="1">
      <c r="B40" s="31" t="s">
        <v>6</v>
      </c>
      <c r="C40" s="89"/>
      <c r="D40" s="34">
        <v>150000.0</v>
      </c>
      <c r="E40" s="34">
        <v>54000.0</v>
      </c>
      <c r="F40" s="34">
        <v>46000.0</v>
      </c>
      <c r="G40" s="34">
        <v>227500.0</v>
      </c>
      <c r="H40" s="34">
        <v>40000.0</v>
      </c>
      <c r="I40" s="112" t="s">
        <v>70</v>
      </c>
      <c r="J40" s="36">
        <f>sum(C40:I40)</f>
        <v>517500</v>
      </c>
      <c r="K40" s="37">
        <f>($D$5/DAY(DATE(YEAR(TODAY()),MONTH(TODAY())+1,0)))*(7-COUNTBLANK(C39:I39))</f>
        <v>933333.3333</v>
      </c>
      <c r="L40" s="37">
        <f>iferror(J40-K40,0)</f>
        <v>-415833.3333</v>
      </c>
      <c r="N40" s="50"/>
      <c r="O40" s="50"/>
    </row>
    <row r="41" ht="15.75" customHeight="1">
      <c r="B41" s="41" t="s">
        <v>7</v>
      </c>
      <c r="C41" s="48"/>
      <c r="D41" s="43">
        <v>1.0</v>
      </c>
      <c r="E41" s="43" t="s">
        <v>71</v>
      </c>
      <c r="F41" s="44">
        <v>1.0</v>
      </c>
      <c r="G41" s="44">
        <v>1.0</v>
      </c>
      <c r="H41" s="44">
        <v>1.0</v>
      </c>
      <c r="I41" s="81">
        <v>1.0</v>
      </c>
      <c r="J41" s="46">
        <f t="shared" ref="J41:J47" si="15">if(sum(C41:I41) =0,"-",sum(C41:I41))</f>
        <v>5</v>
      </c>
      <c r="K41" s="46">
        <f>($F$5/DAY(DATE(YEAR(TODAY()),MONTH(TODAY())+1,0)))*(7-COUNTBLANK(C39:I39))</f>
        <v>8.166666667</v>
      </c>
      <c r="L41" s="46">
        <f t="shared" ref="L41:L48" si="16">iferror(J41-K41,"-")</f>
        <v>-3.166666667</v>
      </c>
    </row>
    <row r="42" ht="15.75" customHeight="1">
      <c r="B42" s="41" t="s">
        <v>8</v>
      </c>
      <c r="C42" s="48"/>
      <c r="D42" s="43" t="s">
        <v>71</v>
      </c>
      <c r="E42" s="43" t="s">
        <v>71</v>
      </c>
      <c r="F42" s="43"/>
      <c r="G42" s="43"/>
      <c r="H42" s="43"/>
      <c r="I42" s="45"/>
      <c r="J42" s="46" t="str">
        <f t="shared" si="15"/>
        <v>-</v>
      </c>
      <c r="K42" s="46">
        <f>($H$5/DAY(DATE(YEAR(TODAY()),MONTH(TODAY())+1,0)))*(7-COUNTBLANK(C39:I39))</f>
        <v>1.166666667</v>
      </c>
      <c r="L42" s="46" t="str">
        <f t="shared" si="16"/>
        <v>-</v>
      </c>
    </row>
    <row r="43" ht="15.75" customHeight="1">
      <c r="B43" s="51" t="s">
        <v>9</v>
      </c>
      <c r="C43" s="52"/>
      <c r="D43" s="53">
        <v>2.0</v>
      </c>
      <c r="E43" s="53">
        <v>1.0</v>
      </c>
      <c r="F43" s="53"/>
      <c r="G43" s="53"/>
      <c r="H43" s="53"/>
      <c r="I43" s="54"/>
      <c r="J43" s="46">
        <f t="shared" si="15"/>
        <v>3</v>
      </c>
      <c r="K43" s="55">
        <f>($J$5/DAY(DATE(YEAR(TODAY()),MONTH(TODAY())+1,0)))*(7-COUNTBLANK(C39:I39))</f>
        <v>0</v>
      </c>
      <c r="L43" s="46">
        <f t="shared" si="16"/>
        <v>3</v>
      </c>
    </row>
    <row r="44" ht="15.75" customHeight="1">
      <c r="B44" s="51" t="s">
        <v>10</v>
      </c>
      <c r="C44" s="52"/>
      <c r="D44" s="53" t="s">
        <v>71</v>
      </c>
      <c r="E44" s="53" t="s">
        <v>71</v>
      </c>
      <c r="F44" s="53"/>
      <c r="G44" s="53"/>
      <c r="H44" s="53"/>
      <c r="I44" s="54"/>
      <c r="J44" s="46" t="str">
        <f t="shared" si="15"/>
        <v>-</v>
      </c>
      <c r="K44" s="55">
        <f>($L$5/DAY(DATE(YEAR(TODAY()),MONTH(TODAY())+1,0)))*(7-COUNTBLANK(C39:I39))</f>
        <v>0</v>
      </c>
      <c r="L44" s="46" t="str">
        <f t="shared" si="16"/>
        <v>-</v>
      </c>
    </row>
    <row r="45" ht="15.75" customHeight="1">
      <c r="B45" s="41" t="s">
        <v>11</v>
      </c>
      <c r="C45" s="52"/>
      <c r="D45" s="53" t="s">
        <v>71</v>
      </c>
      <c r="E45" s="53" t="s">
        <v>71</v>
      </c>
      <c r="F45" s="53"/>
      <c r="G45" s="53"/>
      <c r="H45" s="53"/>
      <c r="I45" s="54"/>
      <c r="J45" s="46" t="str">
        <f t="shared" si="15"/>
        <v>-</v>
      </c>
      <c r="K45" s="55">
        <f>($N$5/DAY(DATE(YEAR(TODAY()),MONTH(TODAY())+1,0)))*(7-COUNTBLANK(C39:I39))</f>
        <v>1.633333333</v>
      </c>
      <c r="L45" s="46" t="str">
        <f t="shared" si="16"/>
        <v>-</v>
      </c>
    </row>
    <row r="46" ht="15.75" customHeight="1">
      <c r="B46" s="56" t="s">
        <v>12</v>
      </c>
      <c r="C46" s="52"/>
      <c r="D46" s="53">
        <v>3.0</v>
      </c>
      <c r="E46" s="53">
        <v>1.0</v>
      </c>
      <c r="F46" s="58">
        <v>2.0</v>
      </c>
      <c r="G46" s="58">
        <v>3.0</v>
      </c>
      <c r="H46" s="58">
        <v>2.0</v>
      </c>
      <c r="I46" s="59">
        <v>3.0</v>
      </c>
      <c r="J46" s="46">
        <f t="shared" si="15"/>
        <v>14</v>
      </c>
      <c r="K46" s="55">
        <f>($P$5/DAY(DATE(YEAR(TODAY()),MONTH(TODAY())+1,0)))*(7-COUNTBLANK(C39:I39))</f>
        <v>7</v>
      </c>
      <c r="L46" s="46">
        <f t="shared" si="16"/>
        <v>7</v>
      </c>
    </row>
    <row r="47" ht="15.75" customHeight="1">
      <c r="B47" s="56" t="s">
        <v>13</v>
      </c>
      <c r="C47" s="52"/>
      <c r="D47" s="53" t="s">
        <v>71</v>
      </c>
      <c r="E47" s="53" t="s">
        <v>71</v>
      </c>
      <c r="F47" s="53"/>
      <c r="G47" s="53"/>
      <c r="H47" s="53"/>
      <c r="I47" s="54"/>
      <c r="J47" s="46" t="str">
        <f t="shared" si="15"/>
        <v>-</v>
      </c>
      <c r="K47" s="55">
        <f>($R$5/DAY(DATE(YEAR(TODAY()),MONTH(TODAY())+1,0)))*(7-COUNTBLANK(C39:I39))</f>
        <v>0.7</v>
      </c>
      <c r="L47" s="46" t="str">
        <f t="shared" si="16"/>
        <v>-</v>
      </c>
    </row>
    <row r="48" ht="15.75" customHeight="1">
      <c r="B48" s="61" t="s">
        <v>14</v>
      </c>
      <c r="C48" s="86">
        <f t="shared" ref="C48:I48" si="17">sum(C41:C47)</f>
        <v>0</v>
      </c>
      <c r="D48" s="63">
        <f t="shared" si="17"/>
        <v>6</v>
      </c>
      <c r="E48" s="63">
        <f t="shared" si="17"/>
        <v>2</v>
      </c>
      <c r="F48" s="63">
        <f t="shared" si="17"/>
        <v>3</v>
      </c>
      <c r="G48" s="63">
        <f t="shared" si="17"/>
        <v>4</v>
      </c>
      <c r="H48" s="63">
        <f t="shared" si="17"/>
        <v>3</v>
      </c>
      <c r="I48" s="83">
        <f t="shared" si="17"/>
        <v>4</v>
      </c>
      <c r="J48" s="66">
        <f>sum(C48:I48)</f>
        <v>22</v>
      </c>
      <c r="K48" s="67">
        <f>sum(K41:K47)</f>
        <v>18.66666667</v>
      </c>
      <c r="L48" s="67">
        <f t="shared" si="16"/>
        <v>3.333333333</v>
      </c>
    </row>
    <row r="49" ht="15.75" customHeight="1">
      <c r="B49" s="68" t="s">
        <v>15</v>
      </c>
      <c r="C49" s="69">
        <f t="shared" ref="C49:K49" si="18">iferror(C40/C48,0)</f>
        <v>0</v>
      </c>
      <c r="D49" s="70">
        <f t="shared" si="18"/>
        <v>25000</v>
      </c>
      <c r="E49" s="70">
        <f t="shared" si="18"/>
        <v>27000</v>
      </c>
      <c r="F49" s="70">
        <f t="shared" si="18"/>
        <v>15333.33333</v>
      </c>
      <c r="G49" s="70">
        <f t="shared" si="18"/>
        <v>56875</v>
      </c>
      <c r="H49" s="70">
        <f t="shared" si="18"/>
        <v>13333.33333</v>
      </c>
      <c r="I49" s="71">
        <f t="shared" si="18"/>
        <v>38000</v>
      </c>
      <c r="J49" s="72">
        <f t="shared" si="18"/>
        <v>23522.72727</v>
      </c>
      <c r="K49" s="73">
        <f t="shared" si="18"/>
        <v>50000</v>
      </c>
      <c r="L49" s="73">
        <f t="shared" ref="L49:L50" si="19">iferror(J49-K49,0)</f>
        <v>-26477.27273</v>
      </c>
    </row>
    <row r="50" ht="15.75" customHeight="1">
      <c r="B50" s="74" t="s">
        <v>33</v>
      </c>
      <c r="C50" s="75"/>
      <c r="D50" s="76"/>
      <c r="E50" s="76">
        <v>9000.0</v>
      </c>
      <c r="F50" s="76"/>
      <c r="G50" s="76"/>
      <c r="H50" s="76"/>
      <c r="I50" s="77"/>
      <c r="J50" s="78"/>
      <c r="K50" s="78"/>
      <c r="L50" s="78">
        <f t="shared" si="19"/>
        <v>0</v>
      </c>
    </row>
    <row r="51" ht="15.75" customHeight="1"/>
    <row r="52" ht="15.75" customHeight="1"/>
    <row r="53" ht="15.75" customHeight="1">
      <c r="B53" s="21" t="s">
        <v>36</v>
      </c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</row>
    <row r="54" ht="15.75" customHeight="1">
      <c r="B54" s="22" t="s">
        <v>19</v>
      </c>
      <c r="C54" s="80" t="s">
        <v>72</v>
      </c>
      <c r="D54" s="84" t="str">
        <f t="shared" ref="D54:I54" si="20">left(C54,2)+1&amp;" ("&amp;text(DATE(2021,LEFT($C$4,1),LEFT(C54,2)+1),"ddd")&amp;")"</f>
        <v>20 (목)</v>
      </c>
      <c r="E54" s="84" t="str">
        <f t="shared" si="20"/>
        <v>21 (금)</v>
      </c>
      <c r="F54" s="84" t="str">
        <f t="shared" si="20"/>
        <v>22 (토)</v>
      </c>
      <c r="G54" s="84" t="str">
        <f t="shared" si="20"/>
        <v>23 (일)</v>
      </c>
      <c r="H54" s="84" t="str">
        <f t="shared" si="20"/>
        <v>24 (월)</v>
      </c>
      <c r="I54" s="84" t="str">
        <f t="shared" si="20"/>
        <v>25 (화)</v>
      </c>
      <c r="J54" s="25" t="s">
        <v>20</v>
      </c>
      <c r="K54" s="25" t="s">
        <v>21</v>
      </c>
      <c r="L54" s="25" t="s">
        <v>17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</row>
    <row r="55" ht="15.75" customHeight="1">
      <c r="B55" s="31" t="s">
        <v>6</v>
      </c>
      <c r="C55" s="89"/>
      <c r="D55" s="34">
        <v>105000.0</v>
      </c>
      <c r="E55" s="34">
        <v>157000.0</v>
      </c>
      <c r="F55" s="34">
        <v>52000.0</v>
      </c>
      <c r="G55" s="33"/>
      <c r="H55" s="33"/>
      <c r="I55" s="85"/>
      <c r="J55" s="36">
        <f>sum(C55:I55)</f>
        <v>314000</v>
      </c>
      <c r="K55" s="37">
        <f>($D$5/DAY(DATE(YEAR(TODAY()),MONTH(TODAY())+1,0)))*(7-COUNTBLANK(C54:I54))</f>
        <v>933333.3333</v>
      </c>
      <c r="L55" s="37">
        <f>iferror(J55-K55,0)</f>
        <v>-619333.3333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 ht="15.75" customHeight="1">
      <c r="B56" s="41" t="s">
        <v>7</v>
      </c>
      <c r="C56" s="48"/>
      <c r="D56" s="43"/>
      <c r="E56" s="44">
        <v>3.0</v>
      </c>
      <c r="F56" s="44">
        <v>1.0</v>
      </c>
      <c r="G56" s="43"/>
      <c r="H56" s="43"/>
      <c r="I56" s="45"/>
      <c r="J56" s="46">
        <f t="shared" ref="J56:J62" si="21">if(sum(C56:I56) =0,"-",sum(C56:I56))</f>
        <v>4</v>
      </c>
      <c r="K56" s="46">
        <f>($F$5/DAY(DATE(YEAR(TODAY()),MONTH(TODAY())+1,0)))*(7-COUNTBLANK(C54:I54))</f>
        <v>8.166666667</v>
      </c>
      <c r="L56" s="46">
        <f t="shared" ref="L56:L63" si="22">iferror(J56-K56,"-")</f>
        <v>-4.166666667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 ht="15.75" customHeight="1">
      <c r="B57" s="41" t="s">
        <v>8</v>
      </c>
      <c r="C57" s="48"/>
      <c r="D57" s="43"/>
      <c r="E57" s="43"/>
      <c r="F57" s="43"/>
      <c r="G57" s="43"/>
      <c r="H57" s="43"/>
      <c r="I57" s="45"/>
      <c r="J57" s="46" t="str">
        <f t="shared" si="21"/>
        <v>-</v>
      </c>
      <c r="K57" s="46">
        <f>($H$5/DAY(DATE(YEAR(TODAY()),MONTH(TODAY())+1,0)))*(7-COUNTBLANK(C54:I54))</f>
        <v>1.166666667</v>
      </c>
      <c r="L57" s="46" t="str">
        <f t="shared" si="22"/>
        <v>-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 ht="15.75" customHeight="1">
      <c r="B58" s="51" t="s">
        <v>9</v>
      </c>
      <c r="C58" s="52"/>
      <c r="D58" s="53"/>
      <c r="E58" s="53"/>
      <c r="F58" s="53"/>
      <c r="G58" s="53"/>
      <c r="H58" s="53"/>
      <c r="I58" s="54"/>
      <c r="J58" s="46" t="str">
        <f t="shared" si="21"/>
        <v>-</v>
      </c>
      <c r="K58" s="55">
        <f>($J$5/DAY(DATE(YEAR(TODAY()),MONTH(TODAY())+1,0)))*(7-COUNTBLANK(C54:I54))</f>
        <v>0</v>
      </c>
      <c r="L58" s="46" t="str">
        <f t="shared" si="22"/>
        <v>-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 ht="15.75" customHeight="1">
      <c r="B59" s="51" t="s">
        <v>10</v>
      </c>
      <c r="C59" s="52"/>
      <c r="D59" s="53"/>
      <c r="E59" s="53"/>
      <c r="F59" s="53"/>
      <c r="G59" s="53"/>
      <c r="H59" s="53"/>
      <c r="I59" s="54"/>
      <c r="J59" s="46" t="str">
        <f t="shared" si="21"/>
        <v>-</v>
      </c>
      <c r="K59" s="55">
        <f>($L$5/DAY(DATE(YEAR(TODAY()),MONTH(TODAY())+1,0)))*(7-COUNTBLANK(C54:I54))</f>
        <v>0</v>
      </c>
      <c r="L59" s="46" t="str">
        <f t="shared" si="22"/>
        <v>-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 ht="15.75" customHeight="1">
      <c r="B60" s="41" t="s">
        <v>11</v>
      </c>
      <c r="C60" s="52"/>
      <c r="D60" s="53"/>
      <c r="E60" s="53"/>
      <c r="F60" s="53"/>
      <c r="G60" s="53"/>
      <c r="H60" s="53"/>
      <c r="I60" s="54"/>
      <c r="J60" s="46" t="str">
        <f t="shared" si="21"/>
        <v>-</v>
      </c>
      <c r="K60" s="55">
        <f>($N$5/DAY(DATE(YEAR(TODAY()),MONTH(TODAY())+1,0)))*(7-COUNTBLANK(C54:I54))</f>
        <v>1.633333333</v>
      </c>
      <c r="L60" s="46" t="str">
        <f t="shared" si="22"/>
        <v>-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 ht="15.75" customHeight="1">
      <c r="B61" s="56" t="s">
        <v>12</v>
      </c>
      <c r="C61" s="52"/>
      <c r="D61" s="58">
        <v>4.0</v>
      </c>
      <c r="E61" s="58">
        <v>2.0</v>
      </c>
      <c r="F61" s="58">
        <v>1.0</v>
      </c>
      <c r="G61" s="53"/>
      <c r="H61" s="53"/>
      <c r="I61" s="54"/>
      <c r="J61" s="46">
        <f t="shared" si="21"/>
        <v>7</v>
      </c>
      <c r="K61" s="55">
        <f>($P$5/DAY(DATE(YEAR(TODAY()),MONTH(TODAY())+1,0)))*(7-COUNTBLANK(C54:I54))</f>
        <v>7</v>
      </c>
      <c r="L61" s="46">
        <f t="shared" si="22"/>
        <v>0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 ht="15.75" customHeight="1">
      <c r="B62" s="56" t="s">
        <v>13</v>
      </c>
      <c r="C62" s="52"/>
      <c r="D62" s="53"/>
      <c r="E62" s="53"/>
      <c r="F62" s="53"/>
      <c r="G62" s="53"/>
      <c r="H62" s="53"/>
      <c r="I62" s="54"/>
      <c r="J62" s="46" t="str">
        <f t="shared" si="21"/>
        <v>-</v>
      </c>
      <c r="K62" s="55">
        <f>($R$5/DAY(DATE(YEAR(TODAY()),MONTH(TODAY())+1,0)))*(7-COUNTBLANK(C54:I54))</f>
        <v>0.7</v>
      </c>
      <c r="L62" s="46" t="str">
        <f t="shared" si="22"/>
        <v>-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 ht="15.75" customHeight="1">
      <c r="B63" s="61" t="s">
        <v>14</v>
      </c>
      <c r="C63" s="86">
        <f t="shared" ref="C63:I63" si="23">sum(C56:C62)</f>
        <v>0</v>
      </c>
      <c r="D63" s="63">
        <f t="shared" si="23"/>
        <v>4</v>
      </c>
      <c r="E63" s="63">
        <f t="shared" si="23"/>
        <v>5</v>
      </c>
      <c r="F63" s="63">
        <f t="shared" si="23"/>
        <v>2</v>
      </c>
      <c r="G63" s="63">
        <f t="shared" si="23"/>
        <v>0</v>
      </c>
      <c r="H63" s="63">
        <f t="shared" si="23"/>
        <v>0</v>
      </c>
      <c r="I63" s="83">
        <f t="shared" si="23"/>
        <v>0</v>
      </c>
      <c r="J63" s="66">
        <f>sum(C63:I63)</f>
        <v>11</v>
      </c>
      <c r="K63" s="67">
        <f>sum(K56:K62)</f>
        <v>18.66666667</v>
      </c>
      <c r="L63" s="67">
        <f t="shared" si="22"/>
        <v>-7.666666667</v>
      </c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 ht="15.75" customHeight="1">
      <c r="B64" s="68" t="s">
        <v>15</v>
      </c>
      <c r="C64" s="69">
        <f t="shared" ref="C64:K64" si="24">iferror(C55/C63,0)</f>
        <v>0</v>
      </c>
      <c r="D64" s="70">
        <f t="shared" si="24"/>
        <v>26250</v>
      </c>
      <c r="E64" s="70">
        <f t="shared" si="24"/>
        <v>31400</v>
      </c>
      <c r="F64" s="70">
        <f t="shared" si="24"/>
        <v>26000</v>
      </c>
      <c r="G64" s="70">
        <f t="shared" si="24"/>
        <v>0</v>
      </c>
      <c r="H64" s="70">
        <f t="shared" si="24"/>
        <v>0</v>
      </c>
      <c r="I64" s="71">
        <f t="shared" si="24"/>
        <v>0</v>
      </c>
      <c r="J64" s="72">
        <f t="shared" si="24"/>
        <v>28545.45455</v>
      </c>
      <c r="K64" s="73">
        <f t="shared" si="24"/>
        <v>50000</v>
      </c>
      <c r="L64" s="73">
        <f t="shared" ref="L64:L65" si="25">iferror(J64-K64,0)</f>
        <v>-21454.54545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 ht="15.75" customHeight="1">
      <c r="B65" s="74" t="s">
        <v>33</v>
      </c>
      <c r="C65" s="75"/>
      <c r="D65" s="76"/>
      <c r="E65" s="76"/>
      <c r="F65" s="76"/>
      <c r="G65" s="76"/>
      <c r="H65" s="76"/>
      <c r="I65" s="77"/>
      <c r="J65" s="78"/>
      <c r="K65" s="78"/>
      <c r="L65" s="78">
        <f t="shared" si="25"/>
        <v>0</v>
      </c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 ht="15.75" customHeight="1">
      <c r="B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 ht="15.75" customHeight="1">
      <c r="B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 ht="15.75" customHeight="1">
      <c r="B68" s="21" t="s">
        <v>37</v>
      </c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 ht="15.75" customHeight="1">
      <c r="B69" s="22" t="s">
        <v>19</v>
      </c>
      <c r="C69" s="111" t="str">
        <f>left(I54,2)+1&amp;" ("&amp;text(DATE(2021,LEFT($C$4,1),LEFT(I54,1)+1),"ddd")&amp;")"</f>
        <v>26 (월)</v>
      </c>
      <c r="D69" s="84" t="str">
        <f t="shared" ref="D69:E69" si="26">left(C69,2)+1&amp;" ("&amp;text(DATE(2021,LEFT($C$4,1),LEFT(C69,2)+1),"ddd")&amp;")"</f>
        <v>27 (목)</v>
      </c>
      <c r="E69" s="84" t="str">
        <f t="shared" si="26"/>
        <v>28 (금)</v>
      </c>
      <c r="F69" s="24" t="s">
        <v>73</v>
      </c>
      <c r="G69" s="24" t="s">
        <v>74</v>
      </c>
      <c r="H69" s="84"/>
      <c r="I69" s="84"/>
      <c r="J69" s="25" t="s">
        <v>20</v>
      </c>
      <c r="K69" s="25" t="s">
        <v>21</v>
      </c>
      <c r="L69" s="25" t="s">
        <v>17</v>
      </c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 ht="15.75" customHeight="1">
      <c r="B70" s="31" t="s">
        <v>6</v>
      </c>
      <c r="C70" s="89"/>
      <c r="D70" s="33"/>
      <c r="E70" s="33"/>
      <c r="F70" s="33"/>
      <c r="G70" s="34"/>
      <c r="H70" s="33"/>
      <c r="I70" s="85"/>
      <c r="J70" s="36">
        <f>sum(C70:I70)</f>
        <v>0</v>
      </c>
      <c r="K70" s="37">
        <f>($D$5/DAY(DATE(YEAR(TODAY()),MONTH(TODAY())+1,0)))*(7-COUNTBLANK(C69:I69))</f>
        <v>666666.6667</v>
      </c>
      <c r="L70" s="37">
        <f>iferror(J70-K70,0)</f>
        <v>-666666.6667</v>
      </c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 ht="15.75" customHeight="1">
      <c r="B71" s="41" t="s">
        <v>7</v>
      </c>
      <c r="C71" s="48"/>
      <c r="D71" s="43"/>
      <c r="E71" s="43"/>
      <c r="F71" s="43"/>
      <c r="G71" s="43"/>
      <c r="H71" s="43"/>
      <c r="I71" s="45"/>
      <c r="J71" s="46" t="str">
        <f t="shared" ref="J71:J77" si="27">if(sum(C71:I71) =0,"-",sum(C71:I71))</f>
        <v>-</v>
      </c>
      <c r="K71" s="46">
        <f>($F$5/DAY(DATE(YEAR(TODAY()),MONTH(TODAY())+1,0)))*(7-COUNTBLANK(C69:I69))</f>
        <v>5.833333333</v>
      </c>
      <c r="L71" s="46" t="str">
        <f t="shared" ref="L71:L78" si="28">iferror(J71-K71,"-")</f>
        <v>-</v>
      </c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 ht="15.75" customHeight="1">
      <c r="B72" s="41" t="s">
        <v>8</v>
      </c>
      <c r="C72" s="48"/>
      <c r="D72" s="43"/>
      <c r="E72" s="43"/>
      <c r="F72" s="43"/>
      <c r="G72" s="43"/>
      <c r="H72" s="43"/>
      <c r="I72" s="45"/>
      <c r="J72" s="46" t="str">
        <f t="shared" si="27"/>
        <v>-</v>
      </c>
      <c r="K72" s="46">
        <f>($H$5/DAY(DATE(YEAR(TODAY()),MONTH(TODAY())+1,0)))*(7-COUNTBLANK(C69:I69))</f>
        <v>0.8333333333</v>
      </c>
      <c r="L72" s="46" t="str">
        <f t="shared" si="28"/>
        <v>-</v>
      </c>
    </row>
    <row r="73" ht="15.75" customHeight="1">
      <c r="B73" s="51" t="s">
        <v>9</v>
      </c>
      <c r="C73" s="52"/>
      <c r="D73" s="53"/>
      <c r="E73" s="53"/>
      <c r="F73" s="53"/>
      <c r="G73" s="53"/>
      <c r="H73" s="53"/>
      <c r="I73" s="54"/>
      <c r="J73" s="46" t="str">
        <f t="shared" si="27"/>
        <v>-</v>
      </c>
      <c r="K73" s="55">
        <f>($J$5/DAY(DATE(YEAR(TODAY()),MONTH(TODAY())+1,0)))*(7-COUNTBLANK(C69:I69))</f>
        <v>0</v>
      </c>
      <c r="L73" s="46" t="str">
        <f t="shared" si="28"/>
        <v>-</v>
      </c>
    </row>
    <row r="74" ht="15.75" customHeight="1">
      <c r="B74" s="51" t="s">
        <v>10</v>
      </c>
      <c r="C74" s="52"/>
      <c r="D74" s="53"/>
      <c r="E74" s="53"/>
      <c r="F74" s="53"/>
      <c r="G74" s="53"/>
      <c r="H74" s="53"/>
      <c r="I74" s="54"/>
      <c r="J74" s="46" t="str">
        <f t="shared" si="27"/>
        <v>-</v>
      </c>
      <c r="K74" s="55">
        <f>($L$5/DAY(DATE(YEAR(TODAY()),MONTH(TODAY())+1,0)))*(7-COUNTBLANK(C69:I69))</f>
        <v>0</v>
      </c>
      <c r="L74" s="46" t="str">
        <f t="shared" si="28"/>
        <v>-</v>
      </c>
    </row>
    <row r="75" ht="15.75" customHeight="1">
      <c r="B75" s="41" t="s">
        <v>11</v>
      </c>
      <c r="C75" s="52"/>
      <c r="D75" s="53"/>
      <c r="E75" s="53"/>
      <c r="F75" s="53"/>
      <c r="G75" s="53"/>
      <c r="H75" s="53"/>
      <c r="I75" s="54"/>
      <c r="J75" s="46" t="str">
        <f t="shared" si="27"/>
        <v>-</v>
      </c>
      <c r="K75" s="55">
        <f>($N$5/DAY(DATE(YEAR(TODAY()),MONTH(TODAY())+1,0)))*(7-COUNTBLANK(C69:I69))</f>
        <v>1.166666667</v>
      </c>
      <c r="L75" s="46" t="str">
        <f t="shared" si="28"/>
        <v>-</v>
      </c>
    </row>
    <row r="76" ht="15.75" customHeight="1">
      <c r="B76" s="56" t="s">
        <v>12</v>
      </c>
      <c r="C76" s="52"/>
      <c r="D76" s="53"/>
      <c r="E76" s="53"/>
      <c r="F76" s="53"/>
      <c r="G76" s="53"/>
      <c r="H76" s="53"/>
      <c r="I76" s="54"/>
      <c r="J76" s="46" t="str">
        <f t="shared" si="27"/>
        <v>-</v>
      </c>
      <c r="K76" s="55">
        <f>($P$5/DAY(DATE(YEAR(TODAY()),MONTH(TODAY())+1,0)))*(7-COUNTBLANK(C69:I69))</f>
        <v>5</v>
      </c>
      <c r="L76" s="46" t="str">
        <f t="shared" si="28"/>
        <v>-</v>
      </c>
    </row>
    <row r="77" ht="15.75" customHeight="1">
      <c r="B77" s="56" t="s">
        <v>13</v>
      </c>
      <c r="C77" s="52"/>
      <c r="D77" s="53"/>
      <c r="E77" s="53"/>
      <c r="F77" s="53"/>
      <c r="G77" s="53"/>
      <c r="H77" s="53"/>
      <c r="I77" s="54"/>
      <c r="J77" s="46" t="str">
        <f t="shared" si="27"/>
        <v>-</v>
      </c>
      <c r="K77" s="55">
        <f>($R$5/DAY(DATE(YEAR(TODAY()),MONTH(TODAY())+1,0)))*(7-COUNTBLANK(C69:I69))</f>
        <v>0.5</v>
      </c>
      <c r="L77" s="46" t="str">
        <f t="shared" si="28"/>
        <v>-</v>
      </c>
    </row>
    <row r="78" ht="15.75" customHeight="1">
      <c r="B78" s="61" t="s">
        <v>14</v>
      </c>
      <c r="C78" s="86">
        <f t="shared" ref="C78:I78" si="29">sum(C71:C77)</f>
        <v>0</v>
      </c>
      <c r="D78" s="63">
        <f t="shared" si="29"/>
        <v>0</v>
      </c>
      <c r="E78" s="63">
        <f t="shared" si="29"/>
        <v>0</v>
      </c>
      <c r="F78" s="63">
        <f t="shared" si="29"/>
        <v>0</v>
      </c>
      <c r="G78" s="63">
        <f t="shared" si="29"/>
        <v>0</v>
      </c>
      <c r="H78" s="63">
        <f t="shared" si="29"/>
        <v>0</v>
      </c>
      <c r="I78" s="83">
        <f t="shared" si="29"/>
        <v>0</v>
      </c>
      <c r="J78" s="66">
        <f>sum(C78:I78)</f>
        <v>0</v>
      </c>
      <c r="K78" s="67">
        <f>sum(K71:K77)</f>
        <v>13.33333333</v>
      </c>
      <c r="L78" s="67">
        <f t="shared" si="28"/>
        <v>-13.33333333</v>
      </c>
    </row>
    <row r="79" ht="15.75" customHeight="1">
      <c r="B79" s="68" t="s">
        <v>15</v>
      </c>
      <c r="C79" s="69">
        <f t="shared" ref="C79:K79" si="30">iferror(C70/C78,0)</f>
        <v>0</v>
      </c>
      <c r="D79" s="70">
        <f t="shared" si="30"/>
        <v>0</v>
      </c>
      <c r="E79" s="70">
        <f t="shared" si="30"/>
        <v>0</v>
      </c>
      <c r="F79" s="70">
        <f t="shared" si="30"/>
        <v>0</v>
      </c>
      <c r="G79" s="70">
        <f t="shared" si="30"/>
        <v>0</v>
      </c>
      <c r="H79" s="70">
        <f t="shared" si="30"/>
        <v>0</v>
      </c>
      <c r="I79" s="71">
        <f t="shared" si="30"/>
        <v>0</v>
      </c>
      <c r="J79" s="72">
        <f t="shared" si="30"/>
        <v>0</v>
      </c>
      <c r="K79" s="73">
        <f t="shared" si="30"/>
        <v>50000</v>
      </c>
      <c r="L79" s="73">
        <f t="shared" ref="L79:L80" si="31">iferror(J79-K79,0)</f>
        <v>-50000</v>
      </c>
    </row>
    <row r="80" ht="15.75" customHeight="1">
      <c r="B80" s="74" t="s">
        <v>33</v>
      </c>
      <c r="C80" s="75"/>
      <c r="D80" s="76"/>
      <c r="E80" s="76"/>
      <c r="F80" s="76"/>
      <c r="G80" s="76"/>
      <c r="H80" s="76"/>
      <c r="I80" s="77"/>
      <c r="J80" s="78"/>
      <c r="K80" s="78"/>
      <c r="L80" s="78">
        <f t="shared" si="31"/>
        <v>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V2"/>
    <mergeCell ref="E4:G4"/>
    <mergeCell ref="J4:L4"/>
    <mergeCell ref="U4:V4"/>
  </mergeCells>
  <conditionalFormatting sqref="L11:L21 L25:L35 L40:L50 L55:L65 L70:L80">
    <cfRule type="cellIs" dxfId="0" priority="1" operator="greaterThan">
      <formula>0</formula>
    </cfRule>
  </conditionalFormatting>
  <conditionalFormatting sqref="L11:L21 L25:L35 L40:L50 L55:L65 L70:L80">
    <cfRule type="cellIs" dxfId="1" priority="2" operator="lessThan">
      <formula>0</formula>
    </cfRule>
  </conditionalFormatting>
  <conditionalFormatting sqref="D7 F7 H7 J7 L7 N7 P7 R7 T7 V7">
    <cfRule type="cellIs" dxfId="1" priority="3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2" t="s">
        <v>75</v>
      </c>
      <c r="C4" s="3">
        <v>6.0</v>
      </c>
      <c r="D4" s="4"/>
      <c r="E4" s="113" t="s">
        <v>76</v>
      </c>
      <c r="H4" s="4"/>
      <c r="I4" s="4" t="s">
        <v>2</v>
      </c>
      <c r="J4" s="4" t="s">
        <v>3</v>
      </c>
      <c r="M4" s="5"/>
      <c r="N4" s="5"/>
      <c r="O4" s="5"/>
      <c r="P4" s="5"/>
      <c r="Q4" s="5"/>
      <c r="R4" s="5"/>
      <c r="S4" s="5"/>
      <c r="T4" s="5"/>
      <c r="U4" s="5" t="s">
        <v>4</v>
      </c>
    </row>
    <row r="5" ht="15.75" customHeight="1">
      <c r="B5" s="6" t="s">
        <v>5</v>
      </c>
      <c r="C5" s="7" t="s">
        <v>6</v>
      </c>
      <c r="D5" s="8">
        <v>1000000.0</v>
      </c>
      <c r="E5" s="7" t="s">
        <v>7</v>
      </c>
      <c r="F5" s="10"/>
      <c r="G5" s="7" t="s">
        <v>8</v>
      </c>
      <c r="H5" s="10"/>
      <c r="I5" s="7" t="s">
        <v>9</v>
      </c>
      <c r="J5" s="10"/>
      <c r="K5" s="7" t="s">
        <v>10</v>
      </c>
      <c r="L5" s="10">
        <v>0.0</v>
      </c>
      <c r="M5" s="7" t="s">
        <v>11</v>
      </c>
      <c r="N5" s="9">
        <v>15.0</v>
      </c>
      <c r="O5" s="7" t="s">
        <v>12</v>
      </c>
      <c r="P5" s="10"/>
      <c r="Q5" s="7" t="s">
        <v>13</v>
      </c>
      <c r="R5" s="10"/>
      <c r="S5" s="7" t="s">
        <v>14</v>
      </c>
      <c r="T5" s="10">
        <f>SUM(E5:R5)</f>
        <v>15</v>
      </c>
      <c r="U5" s="7" t="s">
        <v>15</v>
      </c>
      <c r="V5" s="11">
        <f>iferror(D5/T5,"-")</f>
        <v>66666.66667</v>
      </c>
    </row>
    <row r="6" ht="15.75" customHeight="1">
      <c r="B6" s="12" t="s">
        <v>16</v>
      </c>
      <c r="C6" s="13" t="s">
        <v>6</v>
      </c>
      <c r="D6" s="14">
        <v>635800.0</v>
      </c>
      <c r="E6" s="13" t="s">
        <v>7</v>
      </c>
      <c r="F6" s="15">
        <f>IFERROR(__xludf.DUMMYFUNCTION("SUM(FILTER($J10:$J1025,$B10:$B1025=E6))"),0.0)</f>
        <v>0</v>
      </c>
      <c r="G6" s="13" t="s">
        <v>8</v>
      </c>
      <c r="H6" s="15">
        <f>IFERROR(__xludf.DUMMYFUNCTION("SUM(FILTER($J10:$J1025,$B10:$B1025=G6))"),0.0)</f>
        <v>0</v>
      </c>
      <c r="I6" s="13" t="s">
        <v>9</v>
      </c>
      <c r="J6" s="15">
        <f>IFERROR(__xludf.DUMMYFUNCTION("SUM(FILTER($J10:$J1025,$B10:$B1025=I6))"),0.0)</f>
        <v>0</v>
      </c>
      <c r="K6" s="13" t="s">
        <v>10</v>
      </c>
      <c r="L6" s="15">
        <f>IFERROR(__xludf.DUMMYFUNCTION("SUM(FILTER($J10:$J1025,$B10:$B1025=K6))"),0.0)</f>
        <v>0</v>
      </c>
      <c r="M6" s="13" t="s">
        <v>11</v>
      </c>
      <c r="N6" s="14">
        <v>13.0</v>
      </c>
      <c r="O6" s="13" t="s">
        <v>12</v>
      </c>
      <c r="P6" s="15">
        <f>IFERROR(__xludf.DUMMYFUNCTION("SUM(FILTER($J10:$J1025,$B10:$B1025=O6))"),0.0)</f>
        <v>0</v>
      </c>
      <c r="Q6" s="13" t="s">
        <v>13</v>
      </c>
      <c r="R6" s="15">
        <f>IFERROR(__xludf.DUMMYFUNCTION("SUM(FILTER($J10:$J1025,$B10:$B1025=Q6))"),0.0)</f>
        <v>0</v>
      </c>
      <c r="S6" s="13" t="s">
        <v>14</v>
      </c>
      <c r="T6" s="14">
        <v>16.0</v>
      </c>
      <c r="U6" s="13" t="s">
        <v>15</v>
      </c>
      <c r="V6" s="16">
        <f>iferror(D6/T6,0)</f>
        <v>39737.5</v>
      </c>
    </row>
    <row r="7" ht="15.75" customHeight="1">
      <c r="B7" s="17" t="s">
        <v>17</v>
      </c>
      <c r="C7" s="18" t="s">
        <v>6</v>
      </c>
      <c r="D7" s="19">
        <f>D6-D5</f>
        <v>-364200</v>
      </c>
      <c r="E7" s="18" t="s">
        <v>7</v>
      </c>
      <c r="F7" s="19">
        <f>F6-F5</f>
        <v>0</v>
      </c>
      <c r="G7" s="18" t="s">
        <v>8</v>
      </c>
      <c r="H7" s="19">
        <f>H6-H5</f>
        <v>0</v>
      </c>
      <c r="I7" s="18" t="s">
        <v>9</v>
      </c>
      <c r="J7" s="19">
        <f>J6-J5</f>
        <v>0</v>
      </c>
      <c r="K7" s="18" t="s">
        <v>10</v>
      </c>
      <c r="L7" s="19">
        <f>L6-L5</f>
        <v>0</v>
      </c>
      <c r="M7" s="18" t="s">
        <v>11</v>
      </c>
      <c r="N7" s="19">
        <f>N6-N5</f>
        <v>-2</v>
      </c>
      <c r="O7" s="18" t="s">
        <v>12</v>
      </c>
      <c r="P7" s="19">
        <f>P6-P5</f>
        <v>0</v>
      </c>
      <c r="Q7" s="18" t="s">
        <v>13</v>
      </c>
      <c r="R7" s="19">
        <f>R6-R5</f>
        <v>0</v>
      </c>
      <c r="S7" s="18" t="s">
        <v>14</v>
      </c>
      <c r="T7" s="19">
        <f>T6-T5</f>
        <v>1</v>
      </c>
      <c r="U7" s="18" t="s">
        <v>15</v>
      </c>
      <c r="V7" s="20">
        <f>V6-V5</f>
        <v>-26929.16667</v>
      </c>
    </row>
    <row r="8" ht="17.25" customHeight="1"/>
    <row r="9" ht="15.75" customHeight="1">
      <c r="B9" s="21" t="s">
        <v>18</v>
      </c>
    </row>
    <row r="10" ht="15.75" customHeight="1">
      <c r="B10" s="22" t="s">
        <v>19</v>
      </c>
      <c r="C10" s="23"/>
      <c r="D10" s="24"/>
      <c r="E10" s="84"/>
      <c r="F10" s="84"/>
      <c r="G10" s="84"/>
      <c r="H10" s="24" t="s">
        <v>39</v>
      </c>
      <c r="I10" s="84"/>
      <c r="J10" s="25" t="s">
        <v>20</v>
      </c>
      <c r="K10" s="25" t="s">
        <v>21</v>
      </c>
      <c r="L10" s="25" t="s">
        <v>17</v>
      </c>
      <c r="N10" s="26" t="s">
        <v>22</v>
      </c>
      <c r="O10" s="27">
        <f>SUM(O11:O31)</f>
        <v>0</v>
      </c>
      <c r="Q10" s="28"/>
      <c r="R10" s="29"/>
      <c r="S10" s="30" t="s">
        <v>6</v>
      </c>
      <c r="T10" s="30" t="s">
        <v>12</v>
      </c>
      <c r="U10" s="30" t="s">
        <v>7</v>
      </c>
    </row>
    <row r="11" ht="15.75" customHeight="1">
      <c r="B11" s="31" t="s">
        <v>6</v>
      </c>
      <c r="C11" s="89"/>
      <c r="D11" s="33"/>
      <c r="E11" s="33"/>
      <c r="F11" s="33"/>
      <c r="G11" s="33"/>
      <c r="H11" s="33"/>
      <c r="I11" s="85"/>
      <c r="J11" s="36">
        <f>sum(C11:I11)</f>
        <v>0</v>
      </c>
      <c r="K11" s="37">
        <f>($D$5/DAY(DATE(YEAR(TODAY()),MONTH(TODAY())+1,0)))*(7-COUNTBLANK(C10:I10))</f>
        <v>33333.33333</v>
      </c>
      <c r="L11" s="37">
        <f>iferror(J11-K11,0)</f>
        <v>-33333.33333</v>
      </c>
      <c r="N11" s="38"/>
      <c r="O11" s="39"/>
      <c r="Q11" s="28"/>
      <c r="R11" s="29" t="s">
        <v>23</v>
      </c>
      <c r="S11" s="40"/>
      <c r="T11" s="40"/>
      <c r="U11" s="40"/>
    </row>
    <row r="12" ht="15.75" customHeight="1">
      <c r="B12" s="41" t="s">
        <v>7</v>
      </c>
      <c r="C12" s="48"/>
      <c r="D12" s="43"/>
      <c r="E12" s="43"/>
      <c r="F12" s="43"/>
      <c r="G12" s="43"/>
      <c r="H12" s="43"/>
      <c r="I12" s="45"/>
      <c r="J12" s="46" t="str">
        <f t="shared" ref="J12:J18" si="1">if(sum(C12:I12) =0,"-",sum(C12:I12))</f>
        <v>-</v>
      </c>
      <c r="K12" s="46">
        <f>($F$5/DAY(DATE(YEAR(TODAY()),MONTH(TODAY())+1,0)))*(7-COUNTBLANK(C10:I10))</f>
        <v>0</v>
      </c>
      <c r="L12" s="46" t="str">
        <f t="shared" ref="L12:L19" si="2">iferror(J12-K12,"-")</f>
        <v>-</v>
      </c>
      <c r="N12" s="13"/>
      <c r="O12" s="47"/>
      <c r="R12" s="29" t="s">
        <v>24</v>
      </c>
      <c r="S12" s="40"/>
      <c r="T12" s="40"/>
      <c r="U12" s="40"/>
    </row>
    <row r="13" ht="15.75" customHeight="1">
      <c r="B13" s="41" t="s">
        <v>8</v>
      </c>
      <c r="C13" s="48"/>
      <c r="D13" s="43"/>
      <c r="E13" s="43"/>
      <c r="F13" s="43"/>
      <c r="G13" s="43"/>
      <c r="H13" s="43"/>
      <c r="I13" s="45"/>
      <c r="J13" s="46" t="str">
        <f t="shared" si="1"/>
        <v>-</v>
      </c>
      <c r="K13" s="46">
        <f>($H$5/DAY(DATE(YEAR(TODAY()),MONTH(TODAY())+1,0)))*(7-COUNTBLANK(C10:I10))</f>
        <v>0</v>
      </c>
      <c r="L13" s="46" t="str">
        <f t="shared" si="2"/>
        <v>-</v>
      </c>
      <c r="N13" s="49"/>
      <c r="O13" s="47"/>
      <c r="R13" s="50" t="s">
        <v>25</v>
      </c>
      <c r="S13" s="40"/>
      <c r="T13" s="40"/>
      <c r="U13" s="40"/>
    </row>
    <row r="14" ht="15.75" customHeight="1">
      <c r="B14" s="51" t="s">
        <v>9</v>
      </c>
      <c r="C14" s="52"/>
      <c r="D14" s="53"/>
      <c r="E14" s="53"/>
      <c r="F14" s="53"/>
      <c r="G14" s="53"/>
      <c r="H14" s="53"/>
      <c r="I14" s="54"/>
      <c r="J14" s="46" t="str">
        <f t="shared" si="1"/>
        <v>-</v>
      </c>
      <c r="K14" s="55">
        <f>($J$5/DAY(DATE(YEAR(TODAY()),MONTH(TODAY())+1,0)))*(7-COUNTBLANK(C10:I10))</f>
        <v>0</v>
      </c>
      <c r="L14" s="46" t="str">
        <f t="shared" si="2"/>
        <v>-</v>
      </c>
      <c r="N14" s="13"/>
      <c r="O14" s="47"/>
      <c r="R14" s="50"/>
      <c r="S14" s="50"/>
      <c r="T14" s="50"/>
      <c r="U14" s="50"/>
    </row>
    <row r="15" ht="15.75" customHeight="1">
      <c r="B15" s="51" t="s">
        <v>10</v>
      </c>
      <c r="C15" s="52"/>
      <c r="D15" s="53"/>
      <c r="E15" s="53"/>
      <c r="F15" s="53"/>
      <c r="G15" s="53"/>
      <c r="H15" s="53"/>
      <c r="I15" s="54"/>
      <c r="J15" s="46" t="str">
        <f t="shared" si="1"/>
        <v>-</v>
      </c>
      <c r="K15" s="55">
        <f>($L$5/DAY(DATE(YEAR(TODAY()),MONTH(TODAY())+1,0)))*(7-COUNTBLANK(C10:I10))</f>
        <v>0</v>
      </c>
      <c r="L15" s="46" t="str">
        <f t="shared" si="2"/>
        <v>-</v>
      </c>
      <c r="N15" s="49"/>
      <c r="O15" s="47"/>
      <c r="R15" s="50" t="s">
        <v>26</v>
      </c>
      <c r="S15" s="40" t="str">
        <f>AVERAGE(S11:S13)</f>
        <v>#DIV/0!</v>
      </c>
      <c r="T15" s="50"/>
      <c r="U15" s="50"/>
    </row>
    <row r="16" ht="15.75" customHeight="1">
      <c r="B16" s="41" t="s">
        <v>11</v>
      </c>
      <c r="C16" s="52"/>
      <c r="D16" s="53"/>
      <c r="E16" s="53"/>
      <c r="F16" s="53"/>
      <c r="G16" s="53"/>
      <c r="H16" s="53"/>
      <c r="I16" s="54"/>
      <c r="J16" s="46" t="str">
        <f t="shared" si="1"/>
        <v>-</v>
      </c>
      <c r="K16" s="55">
        <f>($N$5/DAY(DATE(YEAR(TODAY()),MONTH(TODAY())+1,0)))*(7-COUNTBLANK(C10:I10))</f>
        <v>0.5</v>
      </c>
      <c r="L16" s="46" t="str">
        <f t="shared" si="2"/>
        <v>-</v>
      </c>
      <c r="N16" s="49"/>
      <c r="O16" s="47"/>
      <c r="R16" s="50" t="s">
        <v>27</v>
      </c>
      <c r="S16" s="40" t="str">
        <f>AVERAGE(T11:T13)</f>
        <v>#DIV/0!</v>
      </c>
      <c r="T16" s="50"/>
      <c r="U16" s="50"/>
    </row>
    <row r="17" ht="15.75" customHeight="1">
      <c r="B17" s="56" t="s">
        <v>12</v>
      </c>
      <c r="C17" s="52"/>
      <c r="D17" s="53"/>
      <c r="E17" s="53"/>
      <c r="F17" s="53"/>
      <c r="G17" s="53"/>
      <c r="H17" s="53"/>
      <c r="I17" s="54"/>
      <c r="J17" s="46" t="str">
        <f t="shared" si="1"/>
        <v>-</v>
      </c>
      <c r="K17" s="55">
        <f>($P$5/DAY(DATE(YEAR(TODAY()),MONTH(TODAY())+1,0)))*(7-COUNTBLANK(C10:I10))</f>
        <v>0</v>
      </c>
      <c r="L17" s="46" t="str">
        <f t="shared" si="2"/>
        <v>-</v>
      </c>
      <c r="N17" s="49"/>
      <c r="O17" s="47"/>
      <c r="R17" s="50"/>
      <c r="S17" s="50"/>
      <c r="T17" s="50"/>
      <c r="U17" s="50"/>
    </row>
    <row r="18" ht="15.75" customHeight="1">
      <c r="B18" s="56" t="s">
        <v>13</v>
      </c>
      <c r="C18" s="52"/>
      <c r="D18" s="53"/>
      <c r="E18" s="53"/>
      <c r="F18" s="53"/>
      <c r="G18" s="53"/>
      <c r="H18" s="53"/>
      <c r="I18" s="54"/>
      <c r="J18" s="46" t="str">
        <f t="shared" si="1"/>
        <v>-</v>
      </c>
      <c r="K18" s="55">
        <f>($R$5/DAY(DATE(YEAR(TODAY()),MONTH(TODAY())+1,0)))*(7-COUNTBLANK(C10:I10))</f>
        <v>0</v>
      </c>
      <c r="L18" s="46" t="str">
        <f t="shared" si="2"/>
        <v>-</v>
      </c>
      <c r="N18" s="49"/>
      <c r="O18" s="47"/>
      <c r="R18" s="50" t="s">
        <v>28</v>
      </c>
      <c r="S18" s="60" t="str">
        <f>(P6+R6)/U11</f>
        <v>#DIV/0!</v>
      </c>
      <c r="T18" s="50"/>
      <c r="U18" s="50" t="s">
        <v>29</v>
      </c>
    </row>
    <row r="19" ht="15.75" customHeight="1">
      <c r="B19" s="61" t="s">
        <v>14</v>
      </c>
      <c r="C19" s="86"/>
      <c r="D19" s="63"/>
      <c r="E19" s="63"/>
      <c r="F19" s="63"/>
      <c r="G19" s="63"/>
      <c r="H19" s="63"/>
      <c r="I19" s="83"/>
      <c r="J19" s="66">
        <f>sum(C19:I19)</f>
        <v>0</v>
      </c>
      <c r="K19" s="67">
        <f>sum(K12:K18)</f>
        <v>0.5</v>
      </c>
      <c r="L19" s="67">
        <f t="shared" si="2"/>
        <v>-0.5</v>
      </c>
      <c r="N19" s="49"/>
      <c r="O19" s="47"/>
      <c r="R19" s="50" t="s">
        <v>30</v>
      </c>
      <c r="S19" s="60">
        <f>D6/D5</f>
        <v>0.6358</v>
      </c>
      <c r="T19" s="50"/>
      <c r="U19" s="50"/>
    </row>
    <row r="20" ht="15.75" customHeight="1">
      <c r="B20" s="68" t="s">
        <v>15</v>
      </c>
      <c r="C20" s="69"/>
      <c r="D20" s="70"/>
      <c r="E20" s="70"/>
      <c r="F20" s="70"/>
      <c r="G20" s="70"/>
      <c r="H20" s="70"/>
      <c r="I20" s="71"/>
      <c r="J20" s="72">
        <f t="shared" ref="J20:K20" si="3">iferror(J11/J19,0)</f>
        <v>0</v>
      </c>
      <c r="K20" s="73">
        <f t="shared" si="3"/>
        <v>66666.66667</v>
      </c>
      <c r="L20" s="73">
        <f t="shared" ref="L20:L21" si="4">iferror(J20-K20,0)</f>
        <v>-66666.66667</v>
      </c>
      <c r="N20" s="13"/>
      <c r="O20" s="47"/>
      <c r="R20" s="50" t="s">
        <v>31</v>
      </c>
      <c r="S20" s="60" t="str">
        <f>((D6/S11)-1)</f>
        <v>#DIV/0!</v>
      </c>
      <c r="T20" s="50"/>
      <c r="U20" s="50" t="s">
        <v>32</v>
      </c>
    </row>
    <row r="21" ht="15.75" customHeight="1">
      <c r="B21" s="74" t="s">
        <v>33</v>
      </c>
      <c r="C21" s="75"/>
      <c r="D21" s="76"/>
      <c r="E21" s="76"/>
      <c r="F21" s="76"/>
      <c r="G21" s="76"/>
      <c r="H21" s="76"/>
      <c r="I21" s="77"/>
      <c r="J21" s="78"/>
      <c r="K21" s="78"/>
      <c r="L21" s="78">
        <f t="shared" si="4"/>
        <v>0</v>
      </c>
      <c r="M21" s="79"/>
      <c r="N21" s="49"/>
      <c r="O21" s="47"/>
      <c r="P21" s="79"/>
      <c r="Q21" s="79"/>
      <c r="R21" s="79"/>
      <c r="S21" s="79"/>
      <c r="T21" s="79"/>
      <c r="U21" s="79"/>
      <c r="V21" s="79"/>
    </row>
    <row r="22" ht="18.0" customHeight="1">
      <c r="B22" s="79"/>
      <c r="J22" s="79"/>
      <c r="K22" s="79"/>
      <c r="L22" s="79"/>
      <c r="M22" s="79"/>
      <c r="N22" s="49"/>
      <c r="O22" s="47"/>
      <c r="P22" s="79"/>
      <c r="Q22" s="79"/>
      <c r="R22" s="79"/>
      <c r="T22" s="79"/>
      <c r="U22" s="79"/>
      <c r="V22" s="79"/>
    </row>
    <row r="23" ht="15.75" customHeight="1">
      <c r="B23" s="21" t="s">
        <v>34</v>
      </c>
      <c r="J23" s="79"/>
      <c r="K23" s="79"/>
      <c r="L23" s="79"/>
      <c r="N23" s="49"/>
      <c r="O23" s="47"/>
    </row>
    <row r="24" ht="15.75" customHeight="1">
      <c r="B24" s="21"/>
      <c r="J24" s="79"/>
      <c r="K24" s="79"/>
      <c r="L24" s="79"/>
      <c r="N24" s="49"/>
      <c r="O24" s="47"/>
    </row>
    <row r="25" ht="15.75" customHeight="1">
      <c r="B25" s="22" t="s">
        <v>19</v>
      </c>
      <c r="C25" s="111"/>
      <c r="D25" s="84"/>
      <c r="E25" s="84"/>
      <c r="F25" s="84"/>
      <c r="G25" s="84"/>
      <c r="H25" s="84"/>
      <c r="I25" s="84"/>
      <c r="J25" s="25" t="s">
        <v>20</v>
      </c>
      <c r="K25" s="25" t="s">
        <v>21</v>
      </c>
      <c r="L25" s="25" t="s">
        <v>17</v>
      </c>
      <c r="N25" s="50"/>
      <c r="O25" s="50"/>
    </row>
    <row r="26" ht="15.75" customHeight="1">
      <c r="B26" s="31" t="s">
        <v>6</v>
      </c>
      <c r="C26" s="89"/>
      <c r="D26" s="33"/>
      <c r="E26" s="33"/>
      <c r="F26" s="33"/>
      <c r="G26" s="33"/>
      <c r="H26" s="33"/>
      <c r="I26" s="85"/>
      <c r="J26" s="36">
        <f>sum(C26:I26)</f>
        <v>0</v>
      </c>
      <c r="K26" s="37">
        <f>($D$5/DAY(DATE(YEAR(TODAY()),MONTH(TODAY())+1,0)))*(7-COUNTBLANK(C25:I25))</f>
        <v>0</v>
      </c>
      <c r="L26" s="37">
        <f>iferror(J26-K26,0)</f>
        <v>0</v>
      </c>
      <c r="N26" s="50"/>
      <c r="O26" s="50"/>
    </row>
    <row r="27" ht="15.75" customHeight="1">
      <c r="B27" s="41" t="s">
        <v>7</v>
      </c>
      <c r="C27" s="48"/>
      <c r="D27" s="43"/>
      <c r="E27" s="43"/>
      <c r="F27" s="43"/>
      <c r="G27" s="43"/>
      <c r="H27" s="43"/>
      <c r="I27" s="45"/>
      <c r="J27" s="46" t="str">
        <f t="shared" ref="J27:J30" si="5">if(sum(C27:I27) =0,"-",sum(C27:I27))</f>
        <v>-</v>
      </c>
      <c r="K27" s="46">
        <f>($F$5/DAY(DATE(YEAR(TODAY()),MONTH(TODAY())+1,0)))*(7-COUNTBLANK(C25:I25))</f>
        <v>0</v>
      </c>
      <c r="L27" s="46" t="str">
        <f t="shared" ref="L27:L30" si="6">iferror(J27-K27,"-")</f>
        <v>-</v>
      </c>
      <c r="N27" s="50"/>
      <c r="O27" s="50"/>
    </row>
    <row r="28" ht="15.75" customHeight="1">
      <c r="B28" s="41" t="s">
        <v>8</v>
      </c>
      <c r="C28" s="48"/>
      <c r="D28" s="43"/>
      <c r="E28" s="43"/>
      <c r="F28" s="43"/>
      <c r="G28" s="43"/>
      <c r="H28" s="43"/>
      <c r="I28" s="45"/>
      <c r="J28" s="46" t="str">
        <f t="shared" si="5"/>
        <v>-</v>
      </c>
      <c r="K28" s="46">
        <f>($H$5/DAY(DATE(YEAR(TODAY()),MONTH(TODAY())+1,0)))*(7-COUNTBLANK(C25:I25))</f>
        <v>0</v>
      </c>
      <c r="L28" s="46" t="str">
        <f t="shared" si="6"/>
        <v>-</v>
      </c>
      <c r="N28" s="50"/>
      <c r="O28" s="50"/>
    </row>
    <row r="29" ht="15.75" customHeight="1">
      <c r="B29" s="51" t="s">
        <v>9</v>
      </c>
      <c r="C29" s="52"/>
      <c r="D29" s="53"/>
      <c r="E29" s="53"/>
      <c r="F29" s="53"/>
      <c r="G29" s="53"/>
      <c r="H29" s="53"/>
      <c r="I29" s="54"/>
      <c r="J29" s="46" t="str">
        <f t="shared" si="5"/>
        <v>-</v>
      </c>
      <c r="K29" s="55">
        <f>($J$5/DAY(DATE(YEAR(TODAY()),MONTH(TODAY())+1,0)))*(7-COUNTBLANK(C25:I25))</f>
        <v>0</v>
      </c>
      <c r="L29" s="46" t="str">
        <f t="shared" si="6"/>
        <v>-</v>
      </c>
      <c r="N29" s="50"/>
      <c r="O29" s="50"/>
      <c r="R29" s="82"/>
    </row>
    <row r="30" ht="15.75" customHeight="1">
      <c r="B30" s="51" t="s">
        <v>10</v>
      </c>
      <c r="C30" s="52"/>
      <c r="D30" s="53"/>
      <c r="E30" s="53"/>
      <c r="F30" s="53"/>
      <c r="G30" s="53"/>
      <c r="H30" s="53"/>
      <c r="I30" s="54"/>
      <c r="J30" s="46" t="str">
        <f t="shared" si="5"/>
        <v>-</v>
      </c>
      <c r="K30" s="55">
        <f>($L$5/DAY(DATE(YEAR(TODAY()),MONTH(TODAY())+1,0)))*(7-COUNTBLANK(C25:I25))</f>
        <v>0</v>
      </c>
      <c r="L30" s="46" t="str">
        <f t="shared" si="6"/>
        <v>-</v>
      </c>
      <c r="N30" s="50"/>
      <c r="O30" s="50"/>
    </row>
    <row r="31" ht="15.75" customHeight="1">
      <c r="B31" s="51"/>
      <c r="C31" s="52"/>
      <c r="D31" s="53"/>
      <c r="E31" s="53"/>
      <c r="F31" s="53"/>
      <c r="G31" s="53"/>
      <c r="H31" s="53"/>
      <c r="I31" s="54"/>
      <c r="J31" s="46"/>
      <c r="K31" s="55"/>
      <c r="L31" s="46"/>
      <c r="N31" s="50"/>
      <c r="O31" s="50"/>
    </row>
    <row r="32" ht="15.75" customHeight="1">
      <c r="B32" s="41" t="s">
        <v>11</v>
      </c>
      <c r="C32" s="52"/>
      <c r="D32" s="53"/>
      <c r="E32" s="53"/>
      <c r="F32" s="53"/>
      <c r="G32" s="53"/>
      <c r="H32" s="53"/>
      <c r="I32" s="54"/>
      <c r="J32" s="46" t="str">
        <f t="shared" ref="J32:J34" si="7">if(sum(C32:I32) =0,"-",sum(C32:I32))</f>
        <v>-</v>
      </c>
      <c r="K32" s="55">
        <f>($N$5/DAY(DATE(YEAR(TODAY()),MONTH(TODAY())+1,0)))*(7-COUNTBLANK(C25:I25))</f>
        <v>0</v>
      </c>
      <c r="L32" s="46" t="str">
        <f t="shared" ref="L32:L35" si="8">iferror(J32-K32,"-")</f>
        <v>-</v>
      </c>
    </row>
    <row r="33" ht="15.75" customHeight="1">
      <c r="B33" s="56" t="s">
        <v>12</v>
      </c>
      <c r="C33" s="52"/>
      <c r="D33" s="53"/>
      <c r="E33" s="53"/>
      <c r="F33" s="53"/>
      <c r="G33" s="53"/>
      <c r="H33" s="53"/>
      <c r="I33" s="54"/>
      <c r="J33" s="46" t="str">
        <f t="shared" si="7"/>
        <v>-</v>
      </c>
      <c r="K33" s="55">
        <f>($P$5/DAY(DATE(YEAR(TODAY()),MONTH(TODAY())+1,0)))*(7-COUNTBLANK(C25:I25))</f>
        <v>0</v>
      </c>
      <c r="L33" s="46" t="str">
        <f t="shared" si="8"/>
        <v>-</v>
      </c>
      <c r="M33" s="79"/>
      <c r="N33" s="79"/>
      <c r="O33" s="79"/>
      <c r="P33" s="79"/>
      <c r="Q33" s="79"/>
      <c r="R33" s="79"/>
      <c r="S33" s="79"/>
      <c r="T33" s="79"/>
      <c r="U33" s="79"/>
      <c r="V33" s="79"/>
    </row>
    <row r="34" ht="18.75" customHeight="1">
      <c r="B34" s="56" t="s">
        <v>13</v>
      </c>
      <c r="C34" s="52"/>
      <c r="D34" s="53"/>
      <c r="E34" s="53"/>
      <c r="F34" s="53"/>
      <c r="G34" s="53"/>
      <c r="H34" s="53"/>
      <c r="I34" s="54"/>
      <c r="J34" s="46" t="str">
        <f t="shared" si="7"/>
        <v>-</v>
      </c>
      <c r="K34" s="55">
        <f>($R$5/DAY(DATE(YEAR(TODAY()),MONTH(TODAY())+1,0)))*(7-COUNTBLANK(C25:I25))</f>
        <v>0</v>
      </c>
      <c r="L34" s="46" t="str">
        <f t="shared" si="8"/>
        <v>-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 ht="18.75" customHeight="1">
      <c r="B35" s="61" t="s">
        <v>14</v>
      </c>
      <c r="C35" s="86"/>
      <c r="D35" s="63"/>
      <c r="E35" s="63"/>
      <c r="F35" s="63"/>
      <c r="G35" s="63"/>
      <c r="H35" s="63"/>
      <c r="I35" s="83"/>
      <c r="J35" s="66">
        <f>sum(C35:I35)</f>
        <v>0</v>
      </c>
      <c r="K35" s="67">
        <f>sum(K27:K34)</f>
        <v>0</v>
      </c>
      <c r="L35" s="67">
        <f t="shared" si="8"/>
        <v>0</v>
      </c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 ht="18.75" customHeight="1">
      <c r="B36" s="68" t="s">
        <v>15</v>
      </c>
      <c r="C36" s="69"/>
      <c r="D36" s="70"/>
      <c r="E36" s="70"/>
      <c r="F36" s="70"/>
      <c r="G36" s="70"/>
      <c r="H36" s="70"/>
      <c r="I36" s="71"/>
      <c r="J36" s="72">
        <f t="shared" ref="J36:K36" si="9">iferror(J26/J35,0)</f>
        <v>0</v>
      </c>
      <c r="K36" s="73">
        <f t="shared" si="9"/>
        <v>0</v>
      </c>
      <c r="L36" s="73">
        <f t="shared" ref="L36:L37" si="10">iferror(J36-K36,0)</f>
        <v>0</v>
      </c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 ht="18.75" customHeight="1">
      <c r="B37" s="74" t="s">
        <v>33</v>
      </c>
      <c r="C37" s="75"/>
      <c r="D37" s="76"/>
      <c r="E37" s="76"/>
      <c r="F37" s="76"/>
      <c r="G37" s="76"/>
      <c r="H37" s="76"/>
      <c r="I37" s="77"/>
      <c r="J37" s="78"/>
      <c r="K37" s="78"/>
      <c r="L37" s="78">
        <f t="shared" si="10"/>
        <v>0</v>
      </c>
      <c r="M37" s="79"/>
      <c r="N37" s="79"/>
      <c r="O37" s="79"/>
      <c r="P37" s="79"/>
      <c r="Q37" s="79"/>
      <c r="R37" s="79"/>
      <c r="S37" s="79"/>
      <c r="T37" s="79"/>
      <c r="U37" s="79"/>
      <c r="V37" s="79"/>
    </row>
    <row r="38" ht="18.75" customHeight="1">
      <c r="B38" s="21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 ht="18.75" customHeight="1">
      <c r="B39" s="21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0" ht="15.75" customHeight="1">
      <c r="B40" s="21" t="s">
        <v>35</v>
      </c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 ht="15.75" customHeight="1">
      <c r="B41" s="22" t="s">
        <v>19</v>
      </c>
      <c r="C41" s="111"/>
      <c r="D41" s="84"/>
      <c r="E41" s="84"/>
      <c r="F41" s="84"/>
      <c r="G41" s="84"/>
      <c r="H41" s="84"/>
      <c r="I41" s="84"/>
      <c r="J41" s="25" t="s">
        <v>20</v>
      </c>
      <c r="K41" s="25" t="s">
        <v>21</v>
      </c>
      <c r="L41" s="25" t="s">
        <v>17</v>
      </c>
    </row>
    <row r="42" ht="15.75" customHeight="1">
      <c r="B42" s="31" t="s">
        <v>6</v>
      </c>
      <c r="C42" s="89"/>
      <c r="D42" s="33"/>
      <c r="E42" s="33"/>
      <c r="F42" s="33"/>
      <c r="G42" s="33"/>
      <c r="H42" s="33"/>
      <c r="I42" s="85"/>
      <c r="J42" s="36">
        <f>sum(C42:I42)</f>
        <v>0</v>
      </c>
      <c r="K42" s="37">
        <f>($D$5/DAY(DATE(YEAR(TODAY()),MONTH(TODAY())+1,0)))*(7-COUNTBLANK(C41:I41))</f>
        <v>0</v>
      </c>
      <c r="L42" s="37">
        <f>iferror(J42-K42,0)</f>
        <v>0</v>
      </c>
    </row>
    <row r="43" ht="15.75" customHeight="1">
      <c r="B43" s="41" t="s">
        <v>7</v>
      </c>
      <c r="C43" s="48"/>
      <c r="D43" s="43"/>
      <c r="E43" s="43"/>
      <c r="F43" s="43"/>
      <c r="G43" s="43"/>
      <c r="H43" s="43"/>
      <c r="I43" s="45"/>
      <c r="J43" s="46" t="str">
        <f t="shared" ref="J43:J49" si="11">if(sum(C43:I43) =0,"-",sum(C43:I43))</f>
        <v>-</v>
      </c>
      <c r="K43" s="46">
        <f>($F$5/DAY(DATE(YEAR(TODAY()),MONTH(TODAY())+1,0)))*(7-COUNTBLANK(C41:I41))</f>
        <v>0</v>
      </c>
      <c r="L43" s="46" t="str">
        <f t="shared" ref="L43:L50" si="12">iferror(J43-K43,"-")</f>
        <v>-</v>
      </c>
    </row>
    <row r="44" ht="15.75" customHeight="1">
      <c r="B44" s="41" t="s">
        <v>8</v>
      </c>
      <c r="C44" s="48"/>
      <c r="D44" s="43"/>
      <c r="E44" s="43"/>
      <c r="F44" s="43"/>
      <c r="G44" s="43"/>
      <c r="H44" s="43"/>
      <c r="I44" s="45"/>
      <c r="J44" s="46" t="str">
        <f t="shared" si="11"/>
        <v>-</v>
      </c>
      <c r="K44" s="46">
        <f>($H$5/DAY(DATE(YEAR(TODAY()),MONTH(TODAY())+1,0)))*(7-COUNTBLANK(C41:I41))</f>
        <v>0</v>
      </c>
      <c r="L44" s="46" t="str">
        <f t="shared" si="12"/>
        <v>-</v>
      </c>
    </row>
    <row r="45" ht="15.75" customHeight="1">
      <c r="B45" s="51" t="s">
        <v>9</v>
      </c>
      <c r="C45" s="52"/>
      <c r="D45" s="53"/>
      <c r="E45" s="53"/>
      <c r="F45" s="53"/>
      <c r="G45" s="53"/>
      <c r="H45" s="53"/>
      <c r="I45" s="54"/>
      <c r="J45" s="46" t="str">
        <f t="shared" si="11"/>
        <v>-</v>
      </c>
      <c r="K45" s="55">
        <f>($J$5/DAY(DATE(YEAR(TODAY()),MONTH(TODAY())+1,0)))*(7-COUNTBLANK(C41:I41))</f>
        <v>0</v>
      </c>
      <c r="L45" s="46" t="str">
        <f t="shared" si="12"/>
        <v>-</v>
      </c>
    </row>
    <row r="46" ht="15.75" customHeight="1">
      <c r="B46" s="51" t="s">
        <v>10</v>
      </c>
      <c r="C46" s="52"/>
      <c r="D46" s="53"/>
      <c r="E46" s="53"/>
      <c r="F46" s="53"/>
      <c r="G46" s="53"/>
      <c r="H46" s="53"/>
      <c r="I46" s="54"/>
      <c r="J46" s="46" t="str">
        <f t="shared" si="11"/>
        <v>-</v>
      </c>
      <c r="K46" s="55">
        <f>($L$5/DAY(DATE(YEAR(TODAY()),MONTH(TODAY())+1,0)))*(7-COUNTBLANK(C41:I41))</f>
        <v>0</v>
      </c>
      <c r="L46" s="46" t="str">
        <f t="shared" si="12"/>
        <v>-</v>
      </c>
    </row>
    <row r="47" ht="15.75" customHeight="1">
      <c r="B47" s="41" t="s">
        <v>11</v>
      </c>
      <c r="C47" s="52"/>
      <c r="D47" s="53"/>
      <c r="E47" s="53"/>
      <c r="F47" s="53"/>
      <c r="G47" s="53"/>
      <c r="H47" s="53"/>
      <c r="I47" s="54"/>
      <c r="J47" s="46" t="str">
        <f t="shared" si="11"/>
        <v>-</v>
      </c>
      <c r="K47" s="55">
        <f>($N$5/DAY(DATE(YEAR(TODAY()),MONTH(TODAY())+1,0)))*(7-COUNTBLANK(C41:I41))</f>
        <v>0</v>
      </c>
      <c r="L47" s="46" t="str">
        <f t="shared" si="12"/>
        <v>-</v>
      </c>
    </row>
    <row r="48" ht="15.75" customHeight="1">
      <c r="B48" s="56" t="s">
        <v>12</v>
      </c>
      <c r="C48" s="52"/>
      <c r="D48" s="53"/>
      <c r="E48" s="53"/>
      <c r="F48" s="53"/>
      <c r="G48" s="53"/>
      <c r="H48" s="53"/>
      <c r="I48" s="54"/>
      <c r="J48" s="46" t="str">
        <f t="shared" si="11"/>
        <v>-</v>
      </c>
      <c r="K48" s="55">
        <f>($P$5/DAY(DATE(YEAR(TODAY()),MONTH(TODAY())+1,0)))*(7-COUNTBLANK(C41:I41))</f>
        <v>0</v>
      </c>
      <c r="L48" s="46" t="str">
        <f t="shared" si="12"/>
        <v>-</v>
      </c>
    </row>
    <row r="49" ht="15.75" customHeight="1">
      <c r="B49" s="56" t="s">
        <v>13</v>
      </c>
      <c r="C49" s="52"/>
      <c r="D49" s="53"/>
      <c r="E49" s="53"/>
      <c r="F49" s="53"/>
      <c r="G49" s="53"/>
      <c r="H49" s="53"/>
      <c r="I49" s="54"/>
      <c r="J49" s="46" t="str">
        <f t="shared" si="11"/>
        <v>-</v>
      </c>
      <c r="K49" s="55">
        <f>($R$5/DAY(DATE(YEAR(TODAY()),MONTH(TODAY())+1,0)))*(7-COUNTBLANK(C41:I41))</f>
        <v>0</v>
      </c>
      <c r="L49" s="46" t="str">
        <f t="shared" si="12"/>
        <v>-</v>
      </c>
    </row>
    <row r="50" ht="15.75" customHeight="1">
      <c r="B50" s="61" t="s">
        <v>14</v>
      </c>
      <c r="C50" s="86"/>
      <c r="D50" s="63"/>
      <c r="E50" s="63"/>
      <c r="F50" s="63"/>
      <c r="G50" s="63"/>
      <c r="H50" s="63"/>
      <c r="I50" s="83"/>
      <c r="J50" s="66">
        <f>sum(C50:I50)</f>
        <v>0</v>
      </c>
      <c r="K50" s="67">
        <f>sum(K43:K49)</f>
        <v>0</v>
      </c>
      <c r="L50" s="67">
        <f t="shared" si="12"/>
        <v>0</v>
      </c>
    </row>
    <row r="51" ht="15.75" customHeight="1">
      <c r="B51" s="68" t="s">
        <v>15</v>
      </c>
      <c r="C51" s="69"/>
      <c r="D51" s="70"/>
      <c r="E51" s="70"/>
      <c r="F51" s="70"/>
      <c r="G51" s="70"/>
      <c r="H51" s="70"/>
      <c r="I51" s="71"/>
      <c r="J51" s="72">
        <f t="shared" ref="J51:K51" si="13">iferror(J42/J50,0)</f>
        <v>0</v>
      </c>
      <c r="K51" s="73">
        <f t="shared" si="13"/>
        <v>0</v>
      </c>
      <c r="L51" s="73">
        <f t="shared" ref="L51:L52" si="14">iferror(J51-K51,0)</f>
        <v>0</v>
      </c>
    </row>
    <row r="52" ht="15.75" customHeight="1">
      <c r="B52" s="74" t="s">
        <v>33</v>
      </c>
      <c r="C52" s="75"/>
      <c r="D52" s="76"/>
      <c r="E52" s="76"/>
      <c r="F52" s="76"/>
      <c r="G52" s="76"/>
      <c r="H52" s="76"/>
      <c r="I52" s="77"/>
      <c r="J52" s="78"/>
      <c r="K52" s="78"/>
      <c r="L52" s="78">
        <f t="shared" si="14"/>
        <v>0</v>
      </c>
    </row>
    <row r="53" ht="15.75" customHeight="1"/>
    <row r="54" ht="15.75" customHeight="1"/>
    <row r="55" ht="15.75" customHeight="1">
      <c r="B55" s="21" t="s">
        <v>36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 ht="15.75" customHeight="1">
      <c r="B56" s="22" t="s">
        <v>19</v>
      </c>
      <c r="C56" s="111"/>
      <c r="D56" s="84"/>
      <c r="E56" s="84"/>
      <c r="F56" s="84"/>
      <c r="G56" s="84"/>
      <c r="H56" s="84"/>
      <c r="I56" s="84"/>
      <c r="J56" s="25" t="s">
        <v>20</v>
      </c>
      <c r="K56" s="25" t="s">
        <v>21</v>
      </c>
      <c r="L56" s="25" t="s">
        <v>17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 ht="15.75" customHeight="1">
      <c r="B57" s="31" t="s">
        <v>6</v>
      </c>
      <c r="C57" s="89"/>
      <c r="D57" s="33"/>
      <c r="E57" s="33"/>
      <c r="F57" s="33"/>
      <c r="G57" s="33"/>
      <c r="H57" s="33"/>
      <c r="I57" s="85"/>
      <c r="J57" s="36">
        <f>sum(C57:I57)</f>
        <v>0</v>
      </c>
      <c r="K57" s="37">
        <f>($D$5/DAY(DATE(YEAR(TODAY()),MONTH(TODAY())+1,0)))*(7-COUNTBLANK(C56:I56))</f>
        <v>0</v>
      </c>
      <c r="L57" s="37">
        <f>iferror(J57-K57,0)</f>
        <v>0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 ht="15.75" customHeight="1">
      <c r="B58" s="41" t="s">
        <v>7</v>
      </c>
      <c r="C58" s="48"/>
      <c r="D58" s="43"/>
      <c r="E58" s="43"/>
      <c r="F58" s="43"/>
      <c r="G58" s="43"/>
      <c r="H58" s="43"/>
      <c r="I58" s="45"/>
      <c r="J58" s="46" t="str">
        <f t="shared" ref="J58:J64" si="15">if(sum(C58:I58) =0,"-",sum(C58:I58))</f>
        <v>-</v>
      </c>
      <c r="K58" s="46">
        <f>($F$5/DAY(DATE(YEAR(TODAY()),MONTH(TODAY())+1,0)))*(7-COUNTBLANK(C56:I56))</f>
        <v>0</v>
      </c>
      <c r="L58" s="46" t="str">
        <f t="shared" ref="L58:L65" si="16">iferror(J58-K58,"-")</f>
        <v>-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 ht="15.75" customHeight="1">
      <c r="B59" s="41" t="s">
        <v>8</v>
      </c>
      <c r="C59" s="48"/>
      <c r="D59" s="43"/>
      <c r="E59" s="43"/>
      <c r="F59" s="43"/>
      <c r="G59" s="43"/>
      <c r="H59" s="43"/>
      <c r="I59" s="45"/>
      <c r="J59" s="46" t="str">
        <f t="shared" si="15"/>
        <v>-</v>
      </c>
      <c r="K59" s="46">
        <f>($H$5/DAY(DATE(YEAR(TODAY()),MONTH(TODAY())+1,0)))*(7-COUNTBLANK(C56:I56))</f>
        <v>0</v>
      </c>
      <c r="L59" s="46" t="str">
        <f t="shared" si="16"/>
        <v>-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 ht="15.75" customHeight="1">
      <c r="B60" s="51" t="s">
        <v>9</v>
      </c>
      <c r="C60" s="52"/>
      <c r="D60" s="53"/>
      <c r="E60" s="53"/>
      <c r="F60" s="53"/>
      <c r="G60" s="53"/>
      <c r="H60" s="53"/>
      <c r="I60" s="54"/>
      <c r="J60" s="46" t="str">
        <f t="shared" si="15"/>
        <v>-</v>
      </c>
      <c r="K60" s="55">
        <f>($J$5/DAY(DATE(YEAR(TODAY()),MONTH(TODAY())+1,0)))*(7-COUNTBLANK(C56:I56))</f>
        <v>0</v>
      </c>
      <c r="L60" s="46" t="str">
        <f t="shared" si="16"/>
        <v>-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 ht="15.75" customHeight="1">
      <c r="B61" s="51" t="s">
        <v>10</v>
      </c>
      <c r="C61" s="52"/>
      <c r="D61" s="53"/>
      <c r="E61" s="53"/>
      <c r="F61" s="53"/>
      <c r="G61" s="53"/>
      <c r="H61" s="53"/>
      <c r="I61" s="54"/>
      <c r="J61" s="46" t="str">
        <f t="shared" si="15"/>
        <v>-</v>
      </c>
      <c r="K61" s="55">
        <f>($L$5/DAY(DATE(YEAR(TODAY()),MONTH(TODAY())+1,0)))*(7-COUNTBLANK(C56:I56))</f>
        <v>0</v>
      </c>
      <c r="L61" s="46" t="str">
        <f t="shared" si="16"/>
        <v>-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 ht="15.75" customHeight="1">
      <c r="B62" s="41" t="s">
        <v>11</v>
      </c>
      <c r="C62" s="52"/>
      <c r="D62" s="53"/>
      <c r="E62" s="53"/>
      <c r="F62" s="53"/>
      <c r="G62" s="53"/>
      <c r="H62" s="53"/>
      <c r="I62" s="54"/>
      <c r="J62" s="46" t="str">
        <f t="shared" si="15"/>
        <v>-</v>
      </c>
      <c r="K62" s="55">
        <f>($N$5/DAY(DATE(YEAR(TODAY()),MONTH(TODAY())+1,0)))*(7-COUNTBLANK(C56:I56))</f>
        <v>0</v>
      </c>
      <c r="L62" s="46" t="str">
        <f t="shared" si="16"/>
        <v>-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 ht="15.75" customHeight="1">
      <c r="B63" s="56" t="s">
        <v>12</v>
      </c>
      <c r="C63" s="52"/>
      <c r="D63" s="53"/>
      <c r="E63" s="53"/>
      <c r="F63" s="53"/>
      <c r="G63" s="53"/>
      <c r="H63" s="53"/>
      <c r="I63" s="54"/>
      <c r="J63" s="46" t="str">
        <f t="shared" si="15"/>
        <v>-</v>
      </c>
      <c r="K63" s="55">
        <f>($P$5/DAY(DATE(YEAR(TODAY()),MONTH(TODAY())+1,0)))*(7-COUNTBLANK(C56:I56))</f>
        <v>0</v>
      </c>
      <c r="L63" s="46" t="str">
        <f t="shared" si="16"/>
        <v>-</v>
      </c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 ht="15.75" customHeight="1">
      <c r="B64" s="56" t="s">
        <v>13</v>
      </c>
      <c r="C64" s="52"/>
      <c r="D64" s="53"/>
      <c r="E64" s="53"/>
      <c r="F64" s="53"/>
      <c r="G64" s="53"/>
      <c r="H64" s="53"/>
      <c r="I64" s="54"/>
      <c r="J64" s="46" t="str">
        <f t="shared" si="15"/>
        <v>-</v>
      </c>
      <c r="K64" s="55">
        <f>($R$5/DAY(DATE(YEAR(TODAY()),MONTH(TODAY())+1,0)))*(7-COUNTBLANK(C56:I56))</f>
        <v>0</v>
      </c>
      <c r="L64" s="46" t="str">
        <f t="shared" si="16"/>
        <v>-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 ht="15.75" customHeight="1">
      <c r="B65" s="61" t="s">
        <v>14</v>
      </c>
      <c r="C65" s="86"/>
      <c r="D65" s="63"/>
      <c r="E65" s="63"/>
      <c r="F65" s="63"/>
      <c r="G65" s="63"/>
      <c r="H65" s="63"/>
      <c r="I65" s="83"/>
      <c r="J65" s="66">
        <f>sum(C65:I65)</f>
        <v>0</v>
      </c>
      <c r="K65" s="67">
        <f>sum(K58:K64)</f>
        <v>0</v>
      </c>
      <c r="L65" s="67">
        <f t="shared" si="16"/>
        <v>0</v>
      </c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 ht="15.75" customHeight="1">
      <c r="B66" s="68" t="s">
        <v>15</v>
      </c>
      <c r="C66" s="69"/>
      <c r="D66" s="70"/>
      <c r="E66" s="70"/>
      <c r="F66" s="70"/>
      <c r="G66" s="70"/>
      <c r="H66" s="70"/>
      <c r="I66" s="71"/>
      <c r="J66" s="72">
        <f t="shared" ref="J66:K66" si="17">iferror(J57/J65,0)</f>
        <v>0</v>
      </c>
      <c r="K66" s="73">
        <f t="shared" si="17"/>
        <v>0</v>
      </c>
      <c r="L66" s="73">
        <f t="shared" ref="L66:L67" si="18">iferror(J66-K66,0)</f>
        <v>0</v>
      </c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 ht="15.75" customHeight="1">
      <c r="B67" s="74" t="s">
        <v>33</v>
      </c>
      <c r="C67" s="75"/>
      <c r="D67" s="76"/>
      <c r="E67" s="76"/>
      <c r="F67" s="76"/>
      <c r="G67" s="76"/>
      <c r="H67" s="76"/>
      <c r="I67" s="77"/>
      <c r="J67" s="78"/>
      <c r="K67" s="78"/>
      <c r="L67" s="78">
        <f t="shared" si="18"/>
        <v>0</v>
      </c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 ht="15.75" customHeight="1">
      <c r="B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 ht="15.75" customHeight="1">
      <c r="B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 ht="15.75" customHeight="1">
      <c r="B70" s="21" t="s">
        <v>37</v>
      </c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 ht="15.75" customHeight="1">
      <c r="B71" s="22" t="s">
        <v>19</v>
      </c>
      <c r="C71" s="111"/>
      <c r="D71" s="84"/>
      <c r="E71" s="84"/>
      <c r="F71" s="84"/>
      <c r="G71" s="84"/>
      <c r="H71" s="84"/>
      <c r="I71" s="84"/>
      <c r="J71" s="25" t="s">
        <v>20</v>
      </c>
      <c r="K71" s="25" t="s">
        <v>21</v>
      </c>
      <c r="L71" s="25" t="s">
        <v>17</v>
      </c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 ht="15.75" customHeight="1">
      <c r="B72" s="31" t="s">
        <v>6</v>
      </c>
      <c r="C72" s="89"/>
      <c r="D72" s="33"/>
      <c r="E72" s="33"/>
      <c r="F72" s="33"/>
      <c r="G72" s="33"/>
      <c r="H72" s="33"/>
      <c r="I72" s="85"/>
      <c r="J72" s="36">
        <f>sum(C72:I72)</f>
        <v>0</v>
      </c>
      <c r="K72" s="37">
        <f>($D$5/DAY(DATE(YEAR(TODAY()),MONTH(TODAY())+1,0)))*(7-COUNTBLANK(C71:I71))</f>
        <v>0</v>
      </c>
      <c r="L72" s="37">
        <f>iferror(J72-K72,0)</f>
        <v>0</v>
      </c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 ht="15.75" customHeight="1">
      <c r="B73" s="41" t="s">
        <v>7</v>
      </c>
      <c r="C73" s="48"/>
      <c r="D73" s="43"/>
      <c r="E73" s="43"/>
      <c r="F73" s="43"/>
      <c r="G73" s="43"/>
      <c r="H73" s="43"/>
      <c r="I73" s="45"/>
      <c r="J73" s="46" t="str">
        <f t="shared" ref="J73:J79" si="19">if(sum(C73:I73) =0,"-",sum(C73:I73))</f>
        <v>-</v>
      </c>
      <c r="K73" s="46">
        <f>($F$5/DAY(DATE(YEAR(TODAY()),MONTH(TODAY())+1,0)))*(7-COUNTBLANK(C71:I71))</f>
        <v>0</v>
      </c>
      <c r="L73" s="46" t="str">
        <f t="shared" ref="L73:L80" si="20">iferror(J73-K73,"-")</f>
        <v>-</v>
      </c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 ht="15.75" customHeight="1">
      <c r="B74" s="41" t="s">
        <v>8</v>
      </c>
      <c r="C74" s="48"/>
      <c r="D74" s="43"/>
      <c r="E74" s="43"/>
      <c r="F74" s="43"/>
      <c r="G74" s="43"/>
      <c r="H74" s="43"/>
      <c r="I74" s="45"/>
      <c r="J74" s="46" t="str">
        <f t="shared" si="19"/>
        <v>-</v>
      </c>
      <c r="K74" s="46">
        <f>($H$5/DAY(DATE(YEAR(TODAY()),MONTH(TODAY())+1,0)))*(7-COUNTBLANK(C71:I71))</f>
        <v>0</v>
      </c>
      <c r="L74" s="46" t="str">
        <f t="shared" si="20"/>
        <v>-</v>
      </c>
    </row>
    <row r="75" ht="15.75" customHeight="1">
      <c r="B75" s="51" t="s">
        <v>9</v>
      </c>
      <c r="C75" s="52"/>
      <c r="D75" s="53"/>
      <c r="E75" s="53"/>
      <c r="F75" s="53"/>
      <c r="G75" s="53"/>
      <c r="H75" s="53"/>
      <c r="I75" s="54"/>
      <c r="J75" s="46" t="str">
        <f t="shared" si="19"/>
        <v>-</v>
      </c>
      <c r="K75" s="55">
        <f>($J$5/DAY(DATE(YEAR(TODAY()),MONTH(TODAY())+1,0)))*(7-COUNTBLANK(C71:I71))</f>
        <v>0</v>
      </c>
      <c r="L75" s="46" t="str">
        <f t="shared" si="20"/>
        <v>-</v>
      </c>
    </row>
    <row r="76" ht="15.75" customHeight="1">
      <c r="B76" s="51" t="s">
        <v>10</v>
      </c>
      <c r="C76" s="52"/>
      <c r="D76" s="53"/>
      <c r="E76" s="53"/>
      <c r="F76" s="53"/>
      <c r="G76" s="53"/>
      <c r="H76" s="53"/>
      <c r="I76" s="54"/>
      <c r="J76" s="46" t="str">
        <f t="shared" si="19"/>
        <v>-</v>
      </c>
      <c r="K76" s="55">
        <f>($L$5/DAY(DATE(YEAR(TODAY()),MONTH(TODAY())+1,0)))*(7-COUNTBLANK(C71:I71))</f>
        <v>0</v>
      </c>
      <c r="L76" s="46" t="str">
        <f t="shared" si="20"/>
        <v>-</v>
      </c>
    </row>
    <row r="77" ht="15.75" customHeight="1">
      <c r="B77" s="41" t="s">
        <v>11</v>
      </c>
      <c r="C77" s="52"/>
      <c r="D77" s="53"/>
      <c r="E77" s="53"/>
      <c r="F77" s="53"/>
      <c r="G77" s="53"/>
      <c r="H77" s="53"/>
      <c r="I77" s="54"/>
      <c r="J77" s="46" t="str">
        <f t="shared" si="19"/>
        <v>-</v>
      </c>
      <c r="K77" s="55">
        <f>($N$5/DAY(DATE(YEAR(TODAY()),MONTH(TODAY())+1,0)))*(7-COUNTBLANK(C71:I71))</f>
        <v>0</v>
      </c>
      <c r="L77" s="46" t="str">
        <f t="shared" si="20"/>
        <v>-</v>
      </c>
    </row>
    <row r="78" ht="15.75" customHeight="1">
      <c r="B78" s="56" t="s">
        <v>12</v>
      </c>
      <c r="C78" s="52"/>
      <c r="D78" s="53"/>
      <c r="E78" s="53"/>
      <c r="F78" s="53"/>
      <c r="G78" s="53"/>
      <c r="H78" s="53"/>
      <c r="I78" s="54"/>
      <c r="J78" s="46" t="str">
        <f t="shared" si="19"/>
        <v>-</v>
      </c>
      <c r="K78" s="55">
        <f>($P$5/DAY(DATE(YEAR(TODAY()),MONTH(TODAY())+1,0)))*(7-COUNTBLANK(C71:I71))</f>
        <v>0</v>
      </c>
      <c r="L78" s="46" t="str">
        <f t="shared" si="20"/>
        <v>-</v>
      </c>
    </row>
    <row r="79" ht="15.75" customHeight="1">
      <c r="B79" s="56" t="s">
        <v>13</v>
      </c>
      <c r="C79" s="52"/>
      <c r="D79" s="53"/>
      <c r="E79" s="53"/>
      <c r="F79" s="53"/>
      <c r="G79" s="53"/>
      <c r="H79" s="53"/>
      <c r="I79" s="54"/>
      <c r="J79" s="46" t="str">
        <f t="shared" si="19"/>
        <v>-</v>
      </c>
      <c r="K79" s="55">
        <f>($R$5/DAY(DATE(YEAR(TODAY()),MONTH(TODAY())+1,0)))*(7-COUNTBLANK(C71:I71))</f>
        <v>0</v>
      </c>
      <c r="L79" s="46" t="str">
        <f t="shared" si="20"/>
        <v>-</v>
      </c>
    </row>
    <row r="80" ht="15.75" customHeight="1">
      <c r="B80" s="61" t="s">
        <v>14</v>
      </c>
      <c r="C80" s="86">
        <f t="shared" ref="C80:I80" si="21">sum(C73:C79)</f>
        <v>0</v>
      </c>
      <c r="D80" s="63">
        <f t="shared" si="21"/>
        <v>0</v>
      </c>
      <c r="E80" s="63">
        <f t="shared" si="21"/>
        <v>0</v>
      </c>
      <c r="F80" s="63">
        <f t="shared" si="21"/>
        <v>0</v>
      </c>
      <c r="G80" s="63">
        <f t="shared" si="21"/>
        <v>0</v>
      </c>
      <c r="H80" s="63">
        <f t="shared" si="21"/>
        <v>0</v>
      </c>
      <c r="I80" s="83">
        <f t="shared" si="21"/>
        <v>0</v>
      </c>
      <c r="J80" s="66">
        <f>sum(C80:I80)</f>
        <v>0</v>
      </c>
      <c r="K80" s="67">
        <f>sum(K73:K79)</f>
        <v>0</v>
      </c>
      <c r="L80" s="67">
        <f t="shared" si="20"/>
        <v>0</v>
      </c>
    </row>
    <row r="81" ht="15.75" customHeight="1">
      <c r="B81" s="68" t="s">
        <v>15</v>
      </c>
      <c r="C81" s="69">
        <f t="shared" ref="C81:K81" si="22">iferror(C72/C80,0)</f>
        <v>0</v>
      </c>
      <c r="D81" s="70">
        <f t="shared" si="22"/>
        <v>0</v>
      </c>
      <c r="E81" s="70">
        <f t="shared" si="22"/>
        <v>0</v>
      </c>
      <c r="F81" s="70">
        <f t="shared" si="22"/>
        <v>0</v>
      </c>
      <c r="G81" s="70">
        <f t="shared" si="22"/>
        <v>0</v>
      </c>
      <c r="H81" s="70">
        <f t="shared" si="22"/>
        <v>0</v>
      </c>
      <c r="I81" s="71">
        <f t="shared" si="22"/>
        <v>0</v>
      </c>
      <c r="J81" s="72">
        <f t="shared" si="22"/>
        <v>0</v>
      </c>
      <c r="K81" s="73">
        <f t="shared" si="22"/>
        <v>0</v>
      </c>
      <c r="L81" s="73">
        <f t="shared" ref="L81:L82" si="23">iferror(J81-K81,0)</f>
        <v>0</v>
      </c>
    </row>
    <row r="82" ht="15.75" customHeight="1">
      <c r="B82" s="74" t="s">
        <v>33</v>
      </c>
      <c r="C82" s="75"/>
      <c r="D82" s="76"/>
      <c r="E82" s="76"/>
      <c r="F82" s="76"/>
      <c r="G82" s="76"/>
      <c r="H82" s="76"/>
      <c r="I82" s="77"/>
      <c r="J82" s="78"/>
      <c r="K82" s="78"/>
      <c r="L82" s="78">
        <f t="shared" si="23"/>
        <v>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V2"/>
    <mergeCell ref="E4:G4"/>
    <mergeCell ref="J4:L4"/>
    <mergeCell ref="U4:V4"/>
  </mergeCells>
  <conditionalFormatting sqref="L11:L21 L26:L37 L42:L52 L57:L67 L72:L82">
    <cfRule type="cellIs" dxfId="0" priority="1" operator="greaterThan">
      <formula>0</formula>
    </cfRule>
  </conditionalFormatting>
  <conditionalFormatting sqref="L11:L21 L26:L37 L42:L52 L57:L67 L72:L82">
    <cfRule type="cellIs" dxfId="1" priority="2" operator="lessThan">
      <formula>0</formula>
    </cfRule>
  </conditionalFormatting>
  <conditionalFormatting sqref="D7 F7 H7 J7 L7 N7 P7 R7 T7 V7">
    <cfRule type="cellIs" dxfId="1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87" t="s">
        <v>38</v>
      </c>
      <c r="C4" s="3"/>
      <c r="D4" s="4"/>
      <c r="E4" s="113" t="s">
        <v>77</v>
      </c>
      <c r="H4" s="4"/>
      <c r="I4" s="4" t="s">
        <v>2</v>
      </c>
      <c r="J4" s="4" t="s">
        <v>3</v>
      </c>
      <c r="M4" s="5"/>
      <c r="N4" s="5"/>
      <c r="O4" s="5"/>
      <c r="P4" s="5"/>
      <c r="Q4" s="5"/>
      <c r="R4" s="5"/>
      <c r="S4" s="5"/>
      <c r="T4" s="5"/>
      <c r="U4" s="5" t="s">
        <v>4</v>
      </c>
    </row>
    <row r="5" ht="15.75" customHeight="1">
      <c r="B5" s="6" t="s">
        <v>5</v>
      </c>
      <c r="C5" s="7" t="s">
        <v>6</v>
      </c>
      <c r="D5" s="114"/>
      <c r="E5" s="7" t="s">
        <v>7</v>
      </c>
      <c r="F5" s="10"/>
      <c r="G5" s="7" t="s">
        <v>8</v>
      </c>
      <c r="H5" s="10"/>
      <c r="I5" s="7" t="s">
        <v>9</v>
      </c>
      <c r="J5" s="10"/>
      <c r="K5" s="7" t="s">
        <v>10</v>
      </c>
      <c r="L5" s="10">
        <v>0.0</v>
      </c>
      <c r="M5" s="7" t="s">
        <v>11</v>
      </c>
      <c r="N5" s="10"/>
      <c r="O5" s="7" t="s">
        <v>12</v>
      </c>
      <c r="P5" s="10"/>
      <c r="Q5" s="7" t="s">
        <v>13</v>
      </c>
      <c r="R5" s="10"/>
      <c r="S5" s="7" t="s">
        <v>14</v>
      </c>
      <c r="T5" s="10">
        <f t="shared" ref="T5:T6" si="1">SUM(E5:R5)</f>
        <v>0</v>
      </c>
      <c r="U5" s="7" t="s">
        <v>15</v>
      </c>
      <c r="V5" s="11" t="str">
        <f>iferror(D5/T5,"-")</f>
        <v>-</v>
      </c>
    </row>
    <row r="6" ht="15.75" customHeight="1">
      <c r="B6" s="12" t="s">
        <v>16</v>
      </c>
      <c r="C6" s="13" t="s">
        <v>6</v>
      </c>
      <c r="D6" s="14">
        <v>690200.0</v>
      </c>
      <c r="E6" s="13" t="s">
        <v>7</v>
      </c>
      <c r="F6" s="14">
        <v>1.0</v>
      </c>
      <c r="G6" s="13" t="s">
        <v>8</v>
      </c>
      <c r="H6" s="15">
        <f>IFERROR(__xludf.DUMMYFUNCTION("SUM(FILTER($J10:$J1025,$B10:$B1025=G6))"),0.0)</f>
        <v>0</v>
      </c>
      <c r="I6" s="13" t="s">
        <v>9</v>
      </c>
      <c r="J6" s="15">
        <f>IFERROR(__xludf.DUMMYFUNCTION("SUM(FILTER($J10:$J1025,$B10:$B1025=I6))"),0.0)</f>
        <v>0</v>
      </c>
      <c r="K6" s="13" t="s">
        <v>10</v>
      </c>
      <c r="L6" s="15">
        <f>IFERROR(__xludf.DUMMYFUNCTION("SUM(FILTER($J10:$J1025,$B10:$B1025=K6))"),0.0)</f>
        <v>0</v>
      </c>
      <c r="M6" s="13" t="s">
        <v>11</v>
      </c>
      <c r="N6" s="14">
        <v>12.0</v>
      </c>
      <c r="O6" s="13" t="s">
        <v>12</v>
      </c>
      <c r="P6" s="14">
        <v>3.0</v>
      </c>
      <c r="Q6" s="13" t="s">
        <v>13</v>
      </c>
      <c r="R6" s="15">
        <f>IFERROR(__xludf.DUMMYFUNCTION("SUM(FILTER($J10:$J1025,$B10:$B1025=Q6))"),0.0)</f>
        <v>0</v>
      </c>
      <c r="S6" s="13" t="s">
        <v>14</v>
      </c>
      <c r="T6" s="15">
        <f t="shared" si="1"/>
        <v>16</v>
      </c>
      <c r="U6" s="13" t="s">
        <v>15</v>
      </c>
      <c r="V6" s="16">
        <f>iferror(D6/T6,0)</f>
        <v>43137.5</v>
      </c>
    </row>
    <row r="7" ht="15.75" customHeight="1">
      <c r="B7" s="17" t="s">
        <v>17</v>
      </c>
      <c r="C7" s="18" t="s">
        <v>6</v>
      </c>
      <c r="D7" s="19">
        <f>D6-D5</f>
        <v>690200</v>
      </c>
      <c r="E7" s="18" t="s">
        <v>7</v>
      </c>
      <c r="F7" s="19">
        <f>F6-F5</f>
        <v>1</v>
      </c>
      <c r="G7" s="18" t="s">
        <v>8</v>
      </c>
      <c r="H7" s="19">
        <f>H6-H5</f>
        <v>0</v>
      </c>
      <c r="I7" s="18" t="s">
        <v>9</v>
      </c>
      <c r="J7" s="19">
        <f>J6-J5</f>
        <v>0</v>
      </c>
      <c r="K7" s="18" t="s">
        <v>10</v>
      </c>
      <c r="L7" s="19">
        <f>L6-L5</f>
        <v>0</v>
      </c>
      <c r="M7" s="18" t="s">
        <v>11</v>
      </c>
      <c r="N7" s="19">
        <f>N6-N5</f>
        <v>12</v>
      </c>
      <c r="O7" s="18" t="s">
        <v>12</v>
      </c>
      <c r="P7" s="19">
        <f>P6-P5</f>
        <v>3</v>
      </c>
      <c r="Q7" s="18" t="s">
        <v>13</v>
      </c>
      <c r="R7" s="19">
        <f>R6-R5</f>
        <v>0</v>
      </c>
      <c r="S7" s="18" t="s">
        <v>14</v>
      </c>
      <c r="T7" s="19">
        <f>T6-T5</f>
        <v>16</v>
      </c>
      <c r="U7" s="18" t="s">
        <v>15</v>
      </c>
      <c r="V7" s="20" t="str">
        <f>V6-V5</f>
        <v>#VALUE!</v>
      </c>
    </row>
    <row r="8" ht="17.25" customHeight="1"/>
    <row r="9" ht="15.75" customHeight="1">
      <c r="B9" s="21" t="s">
        <v>18</v>
      </c>
    </row>
    <row r="10" ht="15.75" customHeight="1">
      <c r="B10" s="22" t="s">
        <v>19</v>
      </c>
      <c r="C10" s="23"/>
      <c r="D10" s="24"/>
      <c r="E10" s="84"/>
      <c r="F10" s="84"/>
      <c r="G10" s="84"/>
      <c r="H10" s="24" t="s">
        <v>39</v>
      </c>
      <c r="I10" s="84"/>
      <c r="J10" s="25" t="s">
        <v>20</v>
      </c>
      <c r="K10" s="25" t="s">
        <v>21</v>
      </c>
      <c r="L10" s="25" t="s">
        <v>17</v>
      </c>
      <c r="N10" s="26" t="s">
        <v>22</v>
      </c>
      <c r="O10" s="27">
        <f>SUM(O11:O31)</f>
        <v>0</v>
      </c>
      <c r="Q10" s="28"/>
      <c r="R10" s="29"/>
      <c r="S10" s="30" t="s">
        <v>6</v>
      </c>
      <c r="T10" s="30" t="s">
        <v>12</v>
      </c>
      <c r="U10" s="30" t="s">
        <v>7</v>
      </c>
    </row>
    <row r="11" ht="15.75" customHeight="1">
      <c r="B11" s="31" t="s">
        <v>6</v>
      </c>
      <c r="C11" s="89"/>
      <c r="D11" s="33"/>
      <c r="E11" s="33"/>
      <c r="F11" s="33"/>
      <c r="G11" s="33"/>
      <c r="H11" s="33"/>
      <c r="I11" s="85"/>
      <c r="J11" s="36">
        <f>sum(C11:I11)</f>
        <v>0</v>
      </c>
      <c r="K11" s="37">
        <f>($D$5/DAY(DATE(YEAR(TODAY()),MONTH(TODAY())+1,0)))*(7-COUNTBLANK(C10:I10))</f>
        <v>0</v>
      </c>
      <c r="L11" s="37">
        <f>iferror(J11-K11,0)</f>
        <v>0</v>
      </c>
      <c r="N11" s="38"/>
      <c r="O11" s="39"/>
      <c r="Q11" s="28"/>
      <c r="R11" s="29" t="s">
        <v>23</v>
      </c>
      <c r="S11" s="40"/>
      <c r="T11" s="40"/>
      <c r="U11" s="40"/>
    </row>
    <row r="12" ht="15.75" customHeight="1">
      <c r="B12" s="41" t="s">
        <v>7</v>
      </c>
      <c r="C12" s="48"/>
      <c r="D12" s="43"/>
      <c r="E12" s="43"/>
      <c r="F12" s="43"/>
      <c r="G12" s="43"/>
      <c r="H12" s="43"/>
      <c r="I12" s="45"/>
      <c r="J12" s="46" t="str">
        <f t="shared" ref="J12:J18" si="2">if(sum(C12:I12) =0,"-",sum(C12:I12))</f>
        <v>-</v>
      </c>
      <c r="K12" s="46">
        <f>($F$5/DAY(DATE(YEAR(TODAY()),MONTH(TODAY())+1,0)))*(7-COUNTBLANK(C10:I10))</f>
        <v>0</v>
      </c>
      <c r="L12" s="46" t="str">
        <f t="shared" ref="L12:L19" si="3">iferror(J12-K12,"-")</f>
        <v>-</v>
      </c>
      <c r="N12" s="13"/>
      <c r="O12" s="47"/>
      <c r="R12" s="29" t="s">
        <v>24</v>
      </c>
      <c r="S12" s="40"/>
      <c r="T12" s="40"/>
      <c r="U12" s="40"/>
    </row>
    <row r="13" ht="15.75" customHeight="1">
      <c r="B13" s="41" t="s">
        <v>8</v>
      </c>
      <c r="C13" s="48"/>
      <c r="D13" s="43"/>
      <c r="E13" s="43"/>
      <c r="F13" s="43"/>
      <c r="G13" s="43"/>
      <c r="H13" s="43"/>
      <c r="I13" s="45"/>
      <c r="J13" s="46" t="str">
        <f t="shared" si="2"/>
        <v>-</v>
      </c>
      <c r="K13" s="46">
        <f>($H$5/DAY(DATE(YEAR(TODAY()),MONTH(TODAY())+1,0)))*(7-COUNTBLANK(C10:I10))</f>
        <v>0</v>
      </c>
      <c r="L13" s="46" t="str">
        <f t="shared" si="3"/>
        <v>-</v>
      </c>
      <c r="N13" s="49"/>
      <c r="O13" s="47"/>
      <c r="R13" s="50" t="s">
        <v>25</v>
      </c>
      <c r="S13" s="40"/>
      <c r="T13" s="40"/>
      <c r="U13" s="40"/>
    </row>
    <row r="14" ht="15.75" customHeight="1">
      <c r="B14" s="51" t="s">
        <v>9</v>
      </c>
      <c r="C14" s="52"/>
      <c r="D14" s="53"/>
      <c r="E14" s="53"/>
      <c r="F14" s="53"/>
      <c r="G14" s="53"/>
      <c r="H14" s="53"/>
      <c r="I14" s="54"/>
      <c r="J14" s="46" t="str">
        <f t="shared" si="2"/>
        <v>-</v>
      </c>
      <c r="K14" s="55">
        <f>($J$5/DAY(DATE(YEAR(TODAY()),MONTH(TODAY())+1,0)))*(7-COUNTBLANK(C10:I10))</f>
        <v>0</v>
      </c>
      <c r="L14" s="46" t="str">
        <f t="shared" si="3"/>
        <v>-</v>
      </c>
      <c r="N14" s="13"/>
      <c r="O14" s="47"/>
      <c r="R14" s="50"/>
      <c r="S14" s="50"/>
      <c r="T14" s="50"/>
      <c r="U14" s="50"/>
    </row>
    <row r="15" ht="15.75" customHeight="1">
      <c r="B15" s="51" t="s">
        <v>10</v>
      </c>
      <c r="C15" s="52"/>
      <c r="D15" s="53"/>
      <c r="E15" s="53"/>
      <c r="F15" s="53"/>
      <c r="G15" s="53"/>
      <c r="H15" s="53"/>
      <c r="I15" s="54"/>
      <c r="J15" s="46" t="str">
        <f t="shared" si="2"/>
        <v>-</v>
      </c>
      <c r="K15" s="55">
        <f>($L$5/DAY(DATE(YEAR(TODAY()),MONTH(TODAY())+1,0)))*(7-COUNTBLANK(C10:I10))</f>
        <v>0</v>
      </c>
      <c r="L15" s="46" t="str">
        <f t="shared" si="3"/>
        <v>-</v>
      </c>
      <c r="N15" s="49"/>
      <c r="O15" s="47"/>
      <c r="R15" s="50" t="s">
        <v>26</v>
      </c>
      <c r="S15" s="40" t="str">
        <f>AVERAGE(S11:S13)</f>
        <v>#DIV/0!</v>
      </c>
      <c r="T15" s="50"/>
      <c r="U15" s="50"/>
    </row>
    <row r="16" ht="15.75" customHeight="1">
      <c r="B16" s="41" t="s">
        <v>11</v>
      </c>
      <c r="C16" s="52"/>
      <c r="D16" s="53"/>
      <c r="E16" s="53"/>
      <c r="F16" s="53"/>
      <c r="G16" s="53"/>
      <c r="H16" s="53"/>
      <c r="I16" s="54"/>
      <c r="J16" s="46" t="str">
        <f t="shared" si="2"/>
        <v>-</v>
      </c>
      <c r="K16" s="55">
        <f>($N$5/DAY(DATE(YEAR(TODAY()),MONTH(TODAY())+1,0)))*(7-COUNTBLANK(C10:I10))</f>
        <v>0</v>
      </c>
      <c r="L16" s="46" t="str">
        <f t="shared" si="3"/>
        <v>-</v>
      </c>
      <c r="N16" s="49"/>
      <c r="O16" s="47"/>
      <c r="R16" s="50" t="s">
        <v>27</v>
      </c>
      <c r="S16" s="40" t="str">
        <f>AVERAGE(T11:T13)</f>
        <v>#DIV/0!</v>
      </c>
      <c r="T16" s="50"/>
      <c r="U16" s="50"/>
    </row>
    <row r="17" ht="15.75" customHeight="1">
      <c r="B17" s="56" t="s">
        <v>12</v>
      </c>
      <c r="C17" s="52"/>
      <c r="D17" s="53"/>
      <c r="E17" s="53"/>
      <c r="F17" s="53"/>
      <c r="G17" s="53"/>
      <c r="H17" s="53"/>
      <c r="I17" s="54"/>
      <c r="J17" s="46" t="str">
        <f t="shared" si="2"/>
        <v>-</v>
      </c>
      <c r="K17" s="55">
        <f>($P$5/DAY(DATE(YEAR(TODAY()),MONTH(TODAY())+1,0)))*(7-COUNTBLANK(C10:I10))</f>
        <v>0</v>
      </c>
      <c r="L17" s="46" t="str">
        <f t="shared" si="3"/>
        <v>-</v>
      </c>
      <c r="N17" s="49"/>
      <c r="O17" s="47"/>
      <c r="R17" s="50"/>
      <c r="S17" s="50"/>
      <c r="T17" s="50"/>
      <c r="U17" s="50"/>
    </row>
    <row r="18" ht="15.75" customHeight="1">
      <c r="B18" s="56" t="s">
        <v>13</v>
      </c>
      <c r="C18" s="52"/>
      <c r="D18" s="53"/>
      <c r="E18" s="53"/>
      <c r="F18" s="53"/>
      <c r="G18" s="53"/>
      <c r="H18" s="53"/>
      <c r="I18" s="54"/>
      <c r="J18" s="46" t="str">
        <f t="shared" si="2"/>
        <v>-</v>
      </c>
      <c r="K18" s="55">
        <f>($R$5/DAY(DATE(YEAR(TODAY()),MONTH(TODAY())+1,0)))*(7-COUNTBLANK(C10:I10))</f>
        <v>0</v>
      </c>
      <c r="L18" s="46" t="str">
        <f t="shared" si="3"/>
        <v>-</v>
      </c>
      <c r="N18" s="49"/>
      <c r="O18" s="47"/>
      <c r="R18" s="50" t="s">
        <v>28</v>
      </c>
      <c r="S18" s="60" t="str">
        <f>(P6+R6)/U11</f>
        <v>#DIV/0!</v>
      </c>
      <c r="T18" s="50"/>
      <c r="U18" s="50" t="s">
        <v>29</v>
      </c>
    </row>
    <row r="19" ht="15.75" customHeight="1">
      <c r="B19" s="61" t="s">
        <v>14</v>
      </c>
      <c r="C19" s="86"/>
      <c r="D19" s="63"/>
      <c r="E19" s="63"/>
      <c r="F19" s="63"/>
      <c r="G19" s="63"/>
      <c r="H19" s="63"/>
      <c r="I19" s="83"/>
      <c r="J19" s="66">
        <f>sum(C19:I19)</f>
        <v>0</v>
      </c>
      <c r="K19" s="67">
        <f>sum(K12:K18)</f>
        <v>0</v>
      </c>
      <c r="L19" s="67">
        <f t="shared" si="3"/>
        <v>0</v>
      </c>
      <c r="N19" s="49"/>
      <c r="O19" s="47"/>
      <c r="R19" s="50" t="s">
        <v>30</v>
      </c>
      <c r="S19" s="60" t="str">
        <f>D6/D5</f>
        <v>#DIV/0!</v>
      </c>
      <c r="T19" s="50"/>
      <c r="U19" s="50"/>
    </row>
    <row r="20" ht="15.75" customHeight="1">
      <c r="B20" s="68" t="s">
        <v>15</v>
      </c>
      <c r="C20" s="69"/>
      <c r="D20" s="70"/>
      <c r="E20" s="70"/>
      <c r="F20" s="70"/>
      <c r="G20" s="70"/>
      <c r="H20" s="70"/>
      <c r="I20" s="71"/>
      <c r="J20" s="72">
        <f t="shared" ref="J20:K20" si="4">iferror(J11/J19,0)</f>
        <v>0</v>
      </c>
      <c r="K20" s="73">
        <f t="shared" si="4"/>
        <v>0</v>
      </c>
      <c r="L20" s="73">
        <f t="shared" ref="L20:L21" si="5">iferror(J20-K20,0)</f>
        <v>0</v>
      </c>
      <c r="N20" s="13"/>
      <c r="O20" s="47"/>
      <c r="R20" s="50" t="s">
        <v>31</v>
      </c>
      <c r="S20" s="60" t="str">
        <f>((D6/S11)-1)</f>
        <v>#DIV/0!</v>
      </c>
      <c r="T20" s="50"/>
      <c r="U20" s="50" t="s">
        <v>32</v>
      </c>
    </row>
    <row r="21" ht="15.75" customHeight="1">
      <c r="B21" s="74" t="s">
        <v>33</v>
      </c>
      <c r="C21" s="75"/>
      <c r="D21" s="76"/>
      <c r="E21" s="76"/>
      <c r="F21" s="76"/>
      <c r="G21" s="76"/>
      <c r="H21" s="76"/>
      <c r="I21" s="77"/>
      <c r="J21" s="78"/>
      <c r="K21" s="78"/>
      <c r="L21" s="78">
        <f t="shared" si="5"/>
        <v>0</v>
      </c>
      <c r="M21" s="79"/>
      <c r="N21" s="49"/>
      <c r="O21" s="47"/>
      <c r="P21" s="79"/>
      <c r="Q21" s="79"/>
      <c r="R21" s="79"/>
      <c r="S21" s="79"/>
      <c r="T21" s="79"/>
      <c r="U21" s="79"/>
      <c r="V21" s="79"/>
    </row>
    <row r="22" ht="18.0" customHeight="1">
      <c r="B22" s="79"/>
      <c r="J22" s="79"/>
      <c r="K22" s="79"/>
      <c r="L22" s="79"/>
      <c r="M22" s="79"/>
      <c r="N22" s="49"/>
      <c r="O22" s="47"/>
      <c r="P22" s="79"/>
      <c r="Q22" s="79"/>
      <c r="R22" s="79"/>
      <c r="T22" s="79"/>
      <c r="U22" s="79"/>
      <c r="V22" s="79"/>
    </row>
    <row r="23" ht="15.75" customHeight="1">
      <c r="B23" s="21" t="s">
        <v>34</v>
      </c>
      <c r="J23" s="79"/>
      <c r="K23" s="79"/>
      <c r="L23" s="79"/>
      <c r="N23" s="49"/>
      <c r="O23" s="47"/>
    </row>
    <row r="24" ht="15.75" customHeight="1">
      <c r="B24" s="21"/>
      <c r="J24" s="79"/>
      <c r="K24" s="79"/>
      <c r="L24" s="79"/>
      <c r="N24" s="49"/>
      <c r="O24" s="47"/>
    </row>
    <row r="25" ht="15.75" customHeight="1">
      <c r="B25" s="22" t="s">
        <v>19</v>
      </c>
      <c r="C25" s="111"/>
      <c r="D25" s="84"/>
      <c r="E25" s="84"/>
      <c r="F25" s="84"/>
      <c r="G25" s="84"/>
      <c r="H25" s="84"/>
      <c r="I25" s="84"/>
      <c r="J25" s="25" t="s">
        <v>20</v>
      </c>
      <c r="K25" s="25" t="s">
        <v>21</v>
      </c>
      <c r="L25" s="25" t="s">
        <v>17</v>
      </c>
      <c r="N25" s="50"/>
      <c r="O25" s="50"/>
    </row>
    <row r="26" ht="15.75" customHeight="1">
      <c r="B26" s="31" t="s">
        <v>6</v>
      </c>
      <c r="C26" s="89"/>
      <c r="D26" s="33"/>
      <c r="E26" s="33"/>
      <c r="F26" s="33"/>
      <c r="G26" s="33"/>
      <c r="H26" s="33"/>
      <c r="I26" s="85"/>
      <c r="J26" s="36">
        <f>sum(C26:I26)</f>
        <v>0</v>
      </c>
      <c r="K26" s="37">
        <f>($D$5/DAY(DATE(YEAR(TODAY()),MONTH(TODAY())+1,0)))*(7-COUNTBLANK(C25:I25))</f>
        <v>0</v>
      </c>
      <c r="L26" s="37">
        <f>iferror(J26-K26,0)</f>
        <v>0</v>
      </c>
      <c r="N26" s="50"/>
      <c r="O26" s="50"/>
    </row>
    <row r="27" ht="15.75" customHeight="1">
      <c r="B27" s="41" t="s">
        <v>7</v>
      </c>
      <c r="C27" s="48"/>
      <c r="D27" s="43"/>
      <c r="E27" s="43"/>
      <c r="F27" s="43"/>
      <c r="G27" s="43"/>
      <c r="H27" s="43"/>
      <c r="I27" s="45"/>
      <c r="J27" s="46" t="str">
        <f t="shared" ref="J27:J30" si="6">if(sum(C27:I27) =0,"-",sum(C27:I27))</f>
        <v>-</v>
      </c>
      <c r="K27" s="46">
        <f>($F$5/DAY(DATE(YEAR(TODAY()),MONTH(TODAY())+1,0)))*(7-COUNTBLANK(C25:I25))</f>
        <v>0</v>
      </c>
      <c r="L27" s="46" t="str">
        <f t="shared" ref="L27:L30" si="7">iferror(J27-K27,"-")</f>
        <v>-</v>
      </c>
      <c r="N27" s="50"/>
      <c r="O27" s="50"/>
    </row>
    <row r="28" ht="15.75" customHeight="1">
      <c r="B28" s="41" t="s">
        <v>8</v>
      </c>
      <c r="C28" s="48"/>
      <c r="D28" s="43"/>
      <c r="E28" s="43"/>
      <c r="F28" s="43"/>
      <c r="G28" s="43"/>
      <c r="H28" s="43"/>
      <c r="I28" s="45"/>
      <c r="J28" s="46" t="str">
        <f t="shared" si="6"/>
        <v>-</v>
      </c>
      <c r="K28" s="46">
        <f>($H$5/DAY(DATE(YEAR(TODAY()),MONTH(TODAY())+1,0)))*(7-COUNTBLANK(C25:I25))</f>
        <v>0</v>
      </c>
      <c r="L28" s="46" t="str">
        <f t="shared" si="7"/>
        <v>-</v>
      </c>
      <c r="N28" s="50"/>
      <c r="O28" s="50"/>
    </row>
    <row r="29" ht="15.75" customHeight="1">
      <c r="B29" s="51" t="s">
        <v>9</v>
      </c>
      <c r="C29" s="52"/>
      <c r="D29" s="53"/>
      <c r="E29" s="53"/>
      <c r="F29" s="53"/>
      <c r="G29" s="53"/>
      <c r="H29" s="53"/>
      <c r="I29" s="54"/>
      <c r="J29" s="46" t="str">
        <f t="shared" si="6"/>
        <v>-</v>
      </c>
      <c r="K29" s="55">
        <f>($J$5/DAY(DATE(YEAR(TODAY()),MONTH(TODAY())+1,0)))*(7-COUNTBLANK(C25:I25))</f>
        <v>0</v>
      </c>
      <c r="L29" s="46" t="str">
        <f t="shared" si="7"/>
        <v>-</v>
      </c>
      <c r="N29" s="50"/>
      <c r="O29" s="50"/>
      <c r="R29" s="82"/>
    </row>
    <row r="30" ht="15.75" customHeight="1">
      <c r="B30" s="51" t="s">
        <v>10</v>
      </c>
      <c r="C30" s="52"/>
      <c r="D30" s="53"/>
      <c r="E30" s="53"/>
      <c r="F30" s="53"/>
      <c r="G30" s="53"/>
      <c r="H30" s="53"/>
      <c r="I30" s="54"/>
      <c r="J30" s="46" t="str">
        <f t="shared" si="6"/>
        <v>-</v>
      </c>
      <c r="K30" s="55">
        <f>($L$5/DAY(DATE(YEAR(TODAY()),MONTH(TODAY())+1,0)))*(7-COUNTBLANK(C25:I25))</f>
        <v>0</v>
      </c>
      <c r="L30" s="46" t="str">
        <f t="shared" si="7"/>
        <v>-</v>
      </c>
      <c r="N30" s="50"/>
      <c r="O30" s="50"/>
    </row>
    <row r="31" ht="15.75" customHeight="1">
      <c r="B31" s="51"/>
      <c r="C31" s="52"/>
      <c r="D31" s="53"/>
      <c r="E31" s="53"/>
      <c r="F31" s="53"/>
      <c r="G31" s="53"/>
      <c r="H31" s="53"/>
      <c r="I31" s="54"/>
      <c r="J31" s="46"/>
      <c r="K31" s="55"/>
      <c r="L31" s="46"/>
      <c r="N31" s="50"/>
      <c r="O31" s="50"/>
    </row>
    <row r="32" ht="15.75" customHeight="1">
      <c r="B32" s="41" t="s">
        <v>11</v>
      </c>
      <c r="C32" s="52"/>
      <c r="D32" s="53"/>
      <c r="E32" s="53"/>
      <c r="F32" s="53"/>
      <c r="G32" s="53"/>
      <c r="H32" s="53"/>
      <c r="I32" s="54"/>
      <c r="J32" s="46" t="str">
        <f t="shared" ref="J32:J34" si="8">if(sum(C32:I32) =0,"-",sum(C32:I32))</f>
        <v>-</v>
      </c>
      <c r="K32" s="55">
        <f>($N$5/DAY(DATE(YEAR(TODAY()),MONTH(TODAY())+1,0)))*(7-COUNTBLANK(C25:I25))</f>
        <v>0</v>
      </c>
      <c r="L32" s="46" t="str">
        <f t="shared" ref="L32:L35" si="9">iferror(J32-K32,"-")</f>
        <v>-</v>
      </c>
    </row>
    <row r="33" ht="15.75" customHeight="1">
      <c r="B33" s="56" t="s">
        <v>12</v>
      </c>
      <c r="C33" s="52"/>
      <c r="D33" s="53"/>
      <c r="E33" s="53"/>
      <c r="F33" s="53"/>
      <c r="G33" s="53"/>
      <c r="H33" s="53"/>
      <c r="I33" s="54"/>
      <c r="J33" s="46" t="str">
        <f t="shared" si="8"/>
        <v>-</v>
      </c>
      <c r="K33" s="55">
        <f>($P$5/DAY(DATE(YEAR(TODAY()),MONTH(TODAY())+1,0)))*(7-COUNTBLANK(C25:I25))</f>
        <v>0</v>
      </c>
      <c r="L33" s="46" t="str">
        <f t="shared" si="9"/>
        <v>-</v>
      </c>
      <c r="M33" s="79"/>
      <c r="N33" s="79"/>
      <c r="O33" s="79"/>
      <c r="P33" s="79"/>
      <c r="Q33" s="79"/>
      <c r="R33" s="79"/>
      <c r="S33" s="79"/>
      <c r="T33" s="79"/>
      <c r="U33" s="79"/>
      <c r="V33" s="79"/>
    </row>
    <row r="34" ht="18.75" customHeight="1">
      <c r="B34" s="56" t="s">
        <v>13</v>
      </c>
      <c r="C34" s="52"/>
      <c r="D34" s="53"/>
      <c r="E34" s="53"/>
      <c r="F34" s="53"/>
      <c r="G34" s="53"/>
      <c r="H34" s="53"/>
      <c r="I34" s="54"/>
      <c r="J34" s="46" t="str">
        <f t="shared" si="8"/>
        <v>-</v>
      </c>
      <c r="K34" s="55">
        <f>($R$5/DAY(DATE(YEAR(TODAY()),MONTH(TODAY())+1,0)))*(7-COUNTBLANK(C25:I25))</f>
        <v>0</v>
      </c>
      <c r="L34" s="46" t="str">
        <f t="shared" si="9"/>
        <v>-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 ht="18.75" customHeight="1">
      <c r="B35" s="61" t="s">
        <v>14</v>
      </c>
      <c r="C35" s="86"/>
      <c r="D35" s="63"/>
      <c r="E35" s="63"/>
      <c r="F35" s="63"/>
      <c r="G35" s="63"/>
      <c r="H35" s="63"/>
      <c r="I35" s="83"/>
      <c r="J35" s="66">
        <f>sum(C35:I35)</f>
        <v>0</v>
      </c>
      <c r="K35" s="67">
        <f>sum(K27:K34)</f>
        <v>0</v>
      </c>
      <c r="L35" s="67">
        <f t="shared" si="9"/>
        <v>0</v>
      </c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 ht="18.75" customHeight="1">
      <c r="B36" s="68" t="s">
        <v>15</v>
      </c>
      <c r="C36" s="69"/>
      <c r="D36" s="70"/>
      <c r="E36" s="70"/>
      <c r="F36" s="70"/>
      <c r="G36" s="70"/>
      <c r="H36" s="70"/>
      <c r="I36" s="71"/>
      <c r="J36" s="72">
        <f t="shared" ref="J36:K36" si="10">iferror(J26/J35,0)</f>
        <v>0</v>
      </c>
      <c r="K36" s="73">
        <f t="shared" si="10"/>
        <v>0</v>
      </c>
      <c r="L36" s="73">
        <f t="shared" ref="L36:L37" si="11">iferror(J36-K36,0)</f>
        <v>0</v>
      </c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 ht="18.75" customHeight="1">
      <c r="B37" s="74" t="s">
        <v>33</v>
      </c>
      <c r="C37" s="75"/>
      <c r="D37" s="76"/>
      <c r="E37" s="76"/>
      <c r="F37" s="76"/>
      <c r="G37" s="76"/>
      <c r="H37" s="76"/>
      <c r="I37" s="77"/>
      <c r="J37" s="78"/>
      <c r="K37" s="78"/>
      <c r="L37" s="78">
        <f t="shared" si="11"/>
        <v>0</v>
      </c>
      <c r="M37" s="79"/>
      <c r="N37" s="79"/>
      <c r="O37" s="79"/>
      <c r="P37" s="79"/>
      <c r="Q37" s="79"/>
      <c r="R37" s="79"/>
      <c r="S37" s="79"/>
      <c r="T37" s="79"/>
      <c r="U37" s="79"/>
      <c r="V37" s="79"/>
    </row>
    <row r="38" ht="18.75" customHeight="1">
      <c r="B38" s="21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 ht="18.75" customHeight="1">
      <c r="B39" s="21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0" ht="15.75" customHeight="1">
      <c r="B40" s="21" t="s">
        <v>35</v>
      </c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 ht="15.75" customHeight="1">
      <c r="B41" s="22" t="s">
        <v>19</v>
      </c>
      <c r="C41" s="111"/>
      <c r="D41" s="84"/>
      <c r="E41" s="84"/>
      <c r="F41" s="84"/>
      <c r="G41" s="84"/>
      <c r="H41" s="84"/>
      <c r="I41" s="84"/>
      <c r="J41" s="25" t="s">
        <v>20</v>
      </c>
      <c r="K41" s="25" t="s">
        <v>21</v>
      </c>
      <c r="L41" s="25" t="s">
        <v>17</v>
      </c>
    </row>
    <row r="42" ht="15.75" customHeight="1">
      <c r="B42" s="31" t="s">
        <v>6</v>
      </c>
      <c r="C42" s="89"/>
      <c r="D42" s="33"/>
      <c r="E42" s="33"/>
      <c r="F42" s="33"/>
      <c r="G42" s="33"/>
      <c r="H42" s="33"/>
      <c r="I42" s="85"/>
      <c r="J42" s="36">
        <f>sum(C42:I42)</f>
        <v>0</v>
      </c>
      <c r="K42" s="37">
        <f>($D$5/DAY(DATE(YEAR(TODAY()),MONTH(TODAY())+1,0)))*(7-COUNTBLANK(C41:I41))</f>
        <v>0</v>
      </c>
      <c r="L42" s="37">
        <f>iferror(J42-K42,0)</f>
        <v>0</v>
      </c>
    </row>
    <row r="43" ht="15.75" customHeight="1">
      <c r="B43" s="41" t="s">
        <v>7</v>
      </c>
      <c r="C43" s="48"/>
      <c r="D43" s="43"/>
      <c r="E43" s="43"/>
      <c r="F43" s="43"/>
      <c r="G43" s="43"/>
      <c r="H43" s="43"/>
      <c r="I43" s="45"/>
      <c r="J43" s="46" t="str">
        <f t="shared" ref="J43:J49" si="12">if(sum(C43:I43) =0,"-",sum(C43:I43))</f>
        <v>-</v>
      </c>
      <c r="K43" s="46">
        <f>($F$5/DAY(DATE(YEAR(TODAY()),MONTH(TODAY())+1,0)))*(7-COUNTBLANK(C41:I41))</f>
        <v>0</v>
      </c>
      <c r="L43" s="46" t="str">
        <f t="shared" ref="L43:L50" si="13">iferror(J43-K43,"-")</f>
        <v>-</v>
      </c>
    </row>
    <row r="44" ht="15.75" customHeight="1">
      <c r="B44" s="41" t="s">
        <v>8</v>
      </c>
      <c r="C44" s="48"/>
      <c r="D44" s="43"/>
      <c r="E44" s="43"/>
      <c r="F44" s="43"/>
      <c r="G44" s="43"/>
      <c r="H44" s="43"/>
      <c r="I44" s="45"/>
      <c r="J44" s="46" t="str">
        <f t="shared" si="12"/>
        <v>-</v>
      </c>
      <c r="K44" s="46">
        <f>($H$5/DAY(DATE(YEAR(TODAY()),MONTH(TODAY())+1,0)))*(7-COUNTBLANK(C41:I41))</f>
        <v>0</v>
      </c>
      <c r="L44" s="46" t="str">
        <f t="shared" si="13"/>
        <v>-</v>
      </c>
    </row>
    <row r="45" ht="15.75" customHeight="1">
      <c r="B45" s="51" t="s">
        <v>9</v>
      </c>
      <c r="C45" s="52"/>
      <c r="D45" s="53"/>
      <c r="E45" s="53"/>
      <c r="F45" s="53"/>
      <c r="G45" s="53"/>
      <c r="H45" s="53"/>
      <c r="I45" s="54"/>
      <c r="J45" s="46" t="str">
        <f t="shared" si="12"/>
        <v>-</v>
      </c>
      <c r="K45" s="55">
        <f>($J$5/DAY(DATE(YEAR(TODAY()),MONTH(TODAY())+1,0)))*(7-COUNTBLANK(C41:I41))</f>
        <v>0</v>
      </c>
      <c r="L45" s="46" t="str">
        <f t="shared" si="13"/>
        <v>-</v>
      </c>
    </row>
    <row r="46" ht="15.75" customHeight="1">
      <c r="B46" s="51" t="s">
        <v>10</v>
      </c>
      <c r="C46" s="52"/>
      <c r="D46" s="53"/>
      <c r="E46" s="53"/>
      <c r="F46" s="53"/>
      <c r="G46" s="53"/>
      <c r="H46" s="53"/>
      <c r="I46" s="54"/>
      <c r="J46" s="46" t="str">
        <f t="shared" si="12"/>
        <v>-</v>
      </c>
      <c r="K46" s="55">
        <f>($L$5/DAY(DATE(YEAR(TODAY()),MONTH(TODAY())+1,0)))*(7-COUNTBLANK(C41:I41))</f>
        <v>0</v>
      </c>
      <c r="L46" s="46" t="str">
        <f t="shared" si="13"/>
        <v>-</v>
      </c>
    </row>
    <row r="47" ht="15.75" customHeight="1">
      <c r="B47" s="41" t="s">
        <v>11</v>
      </c>
      <c r="C47" s="52"/>
      <c r="D47" s="53"/>
      <c r="E47" s="53"/>
      <c r="F47" s="53"/>
      <c r="G47" s="53"/>
      <c r="H47" s="53"/>
      <c r="I47" s="54"/>
      <c r="J47" s="46" t="str">
        <f t="shared" si="12"/>
        <v>-</v>
      </c>
      <c r="K47" s="55">
        <f>($N$5/DAY(DATE(YEAR(TODAY()),MONTH(TODAY())+1,0)))*(7-COUNTBLANK(C41:I41))</f>
        <v>0</v>
      </c>
      <c r="L47" s="46" t="str">
        <f t="shared" si="13"/>
        <v>-</v>
      </c>
    </row>
    <row r="48" ht="15.75" customHeight="1">
      <c r="B48" s="56" t="s">
        <v>12</v>
      </c>
      <c r="C48" s="52"/>
      <c r="D48" s="53"/>
      <c r="E48" s="53"/>
      <c r="F48" s="53"/>
      <c r="G48" s="53"/>
      <c r="H48" s="53"/>
      <c r="I48" s="54"/>
      <c r="J48" s="46" t="str">
        <f t="shared" si="12"/>
        <v>-</v>
      </c>
      <c r="K48" s="55">
        <f>($P$5/DAY(DATE(YEAR(TODAY()),MONTH(TODAY())+1,0)))*(7-COUNTBLANK(C41:I41))</f>
        <v>0</v>
      </c>
      <c r="L48" s="46" t="str">
        <f t="shared" si="13"/>
        <v>-</v>
      </c>
    </row>
    <row r="49" ht="15.75" customHeight="1">
      <c r="B49" s="56" t="s">
        <v>13</v>
      </c>
      <c r="C49" s="52"/>
      <c r="D49" s="53"/>
      <c r="E49" s="53"/>
      <c r="F49" s="53"/>
      <c r="G49" s="53"/>
      <c r="H49" s="53"/>
      <c r="I49" s="54"/>
      <c r="J49" s="46" t="str">
        <f t="shared" si="12"/>
        <v>-</v>
      </c>
      <c r="K49" s="55">
        <f>($R$5/DAY(DATE(YEAR(TODAY()),MONTH(TODAY())+1,0)))*(7-COUNTBLANK(C41:I41))</f>
        <v>0</v>
      </c>
      <c r="L49" s="46" t="str">
        <f t="shared" si="13"/>
        <v>-</v>
      </c>
    </row>
    <row r="50" ht="15.75" customHeight="1">
      <c r="B50" s="61" t="s">
        <v>14</v>
      </c>
      <c r="C50" s="86"/>
      <c r="D50" s="63"/>
      <c r="E50" s="63"/>
      <c r="F50" s="63"/>
      <c r="G50" s="63"/>
      <c r="H50" s="63"/>
      <c r="I50" s="83"/>
      <c r="J50" s="66">
        <f>sum(C50:I50)</f>
        <v>0</v>
      </c>
      <c r="K50" s="67">
        <f>sum(K43:K49)</f>
        <v>0</v>
      </c>
      <c r="L50" s="67">
        <f t="shared" si="13"/>
        <v>0</v>
      </c>
    </row>
    <row r="51" ht="15.75" customHeight="1">
      <c r="B51" s="68" t="s">
        <v>15</v>
      </c>
      <c r="C51" s="69"/>
      <c r="D51" s="70"/>
      <c r="E51" s="70"/>
      <c r="F51" s="70"/>
      <c r="G51" s="70"/>
      <c r="H51" s="70"/>
      <c r="I51" s="71"/>
      <c r="J51" s="72">
        <f t="shared" ref="J51:K51" si="14">iferror(J42/J50,0)</f>
        <v>0</v>
      </c>
      <c r="K51" s="73">
        <f t="shared" si="14"/>
        <v>0</v>
      </c>
      <c r="L51" s="73">
        <f t="shared" ref="L51:L52" si="15">iferror(J51-K51,0)</f>
        <v>0</v>
      </c>
    </row>
    <row r="52" ht="15.75" customHeight="1">
      <c r="B52" s="74" t="s">
        <v>33</v>
      </c>
      <c r="C52" s="75"/>
      <c r="D52" s="76"/>
      <c r="E52" s="76"/>
      <c r="F52" s="76"/>
      <c r="G52" s="76"/>
      <c r="H52" s="76"/>
      <c r="I52" s="77"/>
      <c r="J52" s="78"/>
      <c r="K52" s="78"/>
      <c r="L52" s="78">
        <f t="shared" si="15"/>
        <v>0</v>
      </c>
    </row>
    <row r="53" ht="15.75" customHeight="1"/>
    <row r="54" ht="15.75" customHeight="1"/>
    <row r="55" ht="15.75" customHeight="1">
      <c r="B55" s="21" t="s">
        <v>36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 ht="15.75" customHeight="1">
      <c r="B56" s="22" t="s">
        <v>19</v>
      </c>
      <c r="C56" s="111"/>
      <c r="D56" s="84"/>
      <c r="E56" s="84"/>
      <c r="F56" s="84"/>
      <c r="G56" s="84"/>
      <c r="H56" s="84"/>
      <c r="I56" s="84"/>
      <c r="J56" s="25" t="s">
        <v>20</v>
      </c>
      <c r="K56" s="25" t="s">
        <v>21</v>
      </c>
      <c r="L56" s="25" t="s">
        <v>17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 ht="15.75" customHeight="1">
      <c r="B57" s="31" t="s">
        <v>6</v>
      </c>
      <c r="C57" s="89"/>
      <c r="D57" s="33"/>
      <c r="E57" s="33"/>
      <c r="F57" s="33"/>
      <c r="G57" s="33"/>
      <c r="H57" s="33"/>
      <c r="I57" s="85"/>
      <c r="J57" s="36">
        <f>sum(C57:I57)</f>
        <v>0</v>
      </c>
      <c r="K57" s="37">
        <f>($D$5/DAY(DATE(YEAR(TODAY()),MONTH(TODAY())+1,0)))*(7-COUNTBLANK(C56:I56))</f>
        <v>0</v>
      </c>
      <c r="L57" s="37">
        <f>iferror(J57-K57,0)</f>
        <v>0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 ht="15.75" customHeight="1">
      <c r="B58" s="41" t="s">
        <v>7</v>
      </c>
      <c r="C58" s="48"/>
      <c r="D58" s="43"/>
      <c r="E58" s="43"/>
      <c r="F58" s="43"/>
      <c r="G58" s="43"/>
      <c r="H58" s="43"/>
      <c r="I58" s="45"/>
      <c r="J58" s="46" t="str">
        <f t="shared" ref="J58:J64" si="16">if(sum(C58:I58) =0,"-",sum(C58:I58))</f>
        <v>-</v>
      </c>
      <c r="K58" s="46">
        <f>($F$5/DAY(DATE(YEAR(TODAY()),MONTH(TODAY())+1,0)))*(7-COUNTBLANK(C56:I56))</f>
        <v>0</v>
      </c>
      <c r="L58" s="46" t="str">
        <f t="shared" ref="L58:L65" si="17">iferror(J58-K58,"-")</f>
        <v>-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 ht="15.75" customHeight="1">
      <c r="B59" s="41" t="s">
        <v>8</v>
      </c>
      <c r="C59" s="48"/>
      <c r="D59" s="43"/>
      <c r="E59" s="43"/>
      <c r="F59" s="43"/>
      <c r="G59" s="43"/>
      <c r="H59" s="43"/>
      <c r="I59" s="45"/>
      <c r="J59" s="46" t="str">
        <f t="shared" si="16"/>
        <v>-</v>
      </c>
      <c r="K59" s="46">
        <f>($H$5/DAY(DATE(YEAR(TODAY()),MONTH(TODAY())+1,0)))*(7-COUNTBLANK(C56:I56))</f>
        <v>0</v>
      </c>
      <c r="L59" s="46" t="str">
        <f t="shared" si="17"/>
        <v>-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 ht="15.75" customHeight="1">
      <c r="B60" s="51" t="s">
        <v>9</v>
      </c>
      <c r="C60" s="52"/>
      <c r="D60" s="53"/>
      <c r="E60" s="53"/>
      <c r="F60" s="53"/>
      <c r="G60" s="53"/>
      <c r="H60" s="53"/>
      <c r="I60" s="54"/>
      <c r="J60" s="46" t="str">
        <f t="shared" si="16"/>
        <v>-</v>
      </c>
      <c r="K60" s="55">
        <f>($J$5/DAY(DATE(YEAR(TODAY()),MONTH(TODAY())+1,0)))*(7-COUNTBLANK(C56:I56))</f>
        <v>0</v>
      </c>
      <c r="L60" s="46" t="str">
        <f t="shared" si="17"/>
        <v>-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 ht="15.75" customHeight="1">
      <c r="B61" s="51" t="s">
        <v>10</v>
      </c>
      <c r="C61" s="52"/>
      <c r="D61" s="53"/>
      <c r="E61" s="53"/>
      <c r="F61" s="53"/>
      <c r="G61" s="53"/>
      <c r="H61" s="53"/>
      <c r="I61" s="54"/>
      <c r="J61" s="46" t="str">
        <f t="shared" si="16"/>
        <v>-</v>
      </c>
      <c r="K61" s="55">
        <f>($L$5/DAY(DATE(YEAR(TODAY()),MONTH(TODAY())+1,0)))*(7-COUNTBLANK(C56:I56))</f>
        <v>0</v>
      </c>
      <c r="L61" s="46" t="str">
        <f t="shared" si="17"/>
        <v>-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 ht="15.75" customHeight="1">
      <c r="B62" s="41" t="s">
        <v>11</v>
      </c>
      <c r="C62" s="52"/>
      <c r="D62" s="53"/>
      <c r="E62" s="53"/>
      <c r="F62" s="53"/>
      <c r="G62" s="53"/>
      <c r="H62" s="53"/>
      <c r="I62" s="54"/>
      <c r="J62" s="46" t="str">
        <f t="shared" si="16"/>
        <v>-</v>
      </c>
      <c r="K62" s="55">
        <f>($N$5/DAY(DATE(YEAR(TODAY()),MONTH(TODAY())+1,0)))*(7-COUNTBLANK(C56:I56))</f>
        <v>0</v>
      </c>
      <c r="L62" s="46" t="str">
        <f t="shared" si="17"/>
        <v>-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 ht="15.75" customHeight="1">
      <c r="B63" s="56" t="s">
        <v>12</v>
      </c>
      <c r="C63" s="52"/>
      <c r="D63" s="53"/>
      <c r="E63" s="53"/>
      <c r="F63" s="53"/>
      <c r="G63" s="53"/>
      <c r="H63" s="53"/>
      <c r="I63" s="54"/>
      <c r="J63" s="46" t="str">
        <f t="shared" si="16"/>
        <v>-</v>
      </c>
      <c r="K63" s="55">
        <f>($P$5/DAY(DATE(YEAR(TODAY()),MONTH(TODAY())+1,0)))*(7-COUNTBLANK(C56:I56))</f>
        <v>0</v>
      </c>
      <c r="L63" s="46" t="str">
        <f t="shared" si="17"/>
        <v>-</v>
      </c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 ht="15.75" customHeight="1">
      <c r="B64" s="56" t="s">
        <v>13</v>
      </c>
      <c r="C64" s="52"/>
      <c r="D64" s="53"/>
      <c r="E64" s="53"/>
      <c r="F64" s="53"/>
      <c r="G64" s="53"/>
      <c r="H64" s="53"/>
      <c r="I64" s="54"/>
      <c r="J64" s="46" t="str">
        <f t="shared" si="16"/>
        <v>-</v>
      </c>
      <c r="K64" s="55">
        <f>($R$5/DAY(DATE(YEAR(TODAY()),MONTH(TODAY())+1,0)))*(7-COUNTBLANK(C56:I56))</f>
        <v>0</v>
      </c>
      <c r="L64" s="46" t="str">
        <f t="shared" si="17"/>
        <v>-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 ht="15.75" customHeight="1">
      <c r="B65" s="61" t="s">
        <v>14</v>
      </c>
      <c r="C65" s="86"/>
      <c r="D65" s="63"/>
      <c r="E65" s="63"/>
      <c r="F65" s="63"/>
      <c r="G65" s="63"/>
      <c r="H65" s="63"/>
      <c r="I65" s="83"/>
      <c r="J65" s="66">
        <f>sum(C65:I65)</f>
        <v>0</v>
      </c>
      <c r="K65" s="67">
        <f>sum(K58:K64)</f>
        <v>0</v>
      </c>
      <c r="L65" s="67">
        <f t="shared" si="17"/>
        <v>0</v>
      </c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 ht="15.75" customHeight="1">
      <c r="B66" s="68" t="s">
        <v>15</v>
      </c>
      <c r="C66" s="69"/>
      <c r="D66" s="70"/>
      <c r="E66" s="70"/>
      <c r="F66" s="70"/>
      <c r="G66" s="70"/>
      <c r="H66" s="70"/>
      <c r="I66" s="71"/>
      <c r="J66" s="72">
        <f t="shared" ref="J66:K66" si="18">iferror(J57/J65,0)</f>
        <v>0</v>
      </c>
      <c r="K66" s="73">
        <f t="shared" si="18"/>
        <v>0</v>
      </c>
      <c r="L66" s="73">
        <f t="shared" ref="L66:L67" si="19">iferror(J66-K66,0)</f>
        <v>0</v>
      </c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 ht="15.75" customHeight="1">
      <c r="B67" s="74" t="s">
        <v>33</v>
      </c>
      <c r="C67" s="75"/>
      <c r="D67" s="76"/>
      <c r="E67" s="76"/>
      <c r="F67" s="76"/>
      <c r="G67" s="76"/>
      <c r="H67" s="76"/>
      <c r="I67" s="77"/>
      <c r="J67" s="78"/>
      <c r="K67" s="78"/>
      <c r="L67" s="78">
        <f t="shared" si="19"/>
        <v>0</v>
      </c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 ht="15.75" customHeight="1">
      <c r="B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 ht="15.75" customHeight="1">
      <c r="B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 ht="15.75" customHeight="1">
      <c r="B70" s="21" t="s">
        <v>37</v>
      </c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 ht="15.75" customHeight="1">
      <c r="B71" s="22" t="s">
        <v>19</v>
      </c>
      <c r="C71" s="111"/>
      <c r="D71" s="84"/>
      <c r="E71" s="84"/>
      <c r="F71" s="84"/>
      <c r="G71" s="84"/>
      <c r="H71" s="84"/>
      <c r="I71" s="84"/>
      <c r="J71" s="25" t="s">
        <v>20</v>
      </c>
      <c r="K71" s="25" t="s">
        <v>21</v>
      </c>
      <c r="L71" s="25" t="s">
        <v>17</v>
      </c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 ht="15.75" customHeight="1">
      <c r="B72" s="31" t="s">
        <v>6</v>
      </c>
      <c r="C72" s="89"/>
      <c r="D72" s="33"/>
      <c r="E72" s="33"/>
      <c r="F72" s="33"/>
      <c r="G72" s="33"/>
      <c r="H72" s="33"/>
      <c r="I72" s="85"/>
      <c r="J72" s="36">
        <f>sum(C72:I72)</f>
        <v>0</v>
      </c>
      <c r="K72" s="37">
        <f>($D$5/DAY(DATE(YEAR(TODAY()),MONTH(TODAY())+1,0)))*(7-COUNTBLANK(C71:I71))</f>
        <v>0</v>
      </c>
      <c r="L72" s="37">
        <f>iferror(J72-K72,0)</f>
        <v>0</v>
      </c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 ht="15.75" customHeight="1">
      <c r="B73" s="41" t="s">
        <v>7</v>
      </c>
      <c r="C73" s="48"/>
      <c r="D73" s="43"/>
      <c r="E73" s="43"/>
      <c r="F73" s="43"/>
      <c r="G73" s="43"/>
      <c r="H73" s="43"/>
      <c r="I73" s="45"/>
      <c r="J73" s="46" t="str">
        <f t="shared" ref="J73:J79" si="20">if(sum(C73:I73) =0,"-",sum(C73:I73))</f>
        <v>-</v>
      </c>
      <c r="K73" s="46">
        <f>($F$5/DAY(DATE(YEAR(TODAY()),MONTH(TODAY())+1,0)))*(7-COUNTBLANK(C71:I71))</f>
        <v>0</v>
      </c>
      <c r="L73" s="46" t="str">
        <f t="shared" ref="L73:L80" si="21">iferror(J73-K73,"-")</f>
        <v>-</v>
      </c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 ht="15.75" customHeight="1">
      <c r="B74" s="41" t="s">
        <v>8</v>
      </c>
      <c r="C74" s="48"/>
      <c r="D74" s="43"/>
      <c r="E74" s="43"/>
      <c r="F74" s="43"/>
      <c r="G74" s="43"/>
      <c r="H74" s="43"/>
      <c r="I74" s="45"/>
      <c r="J74" s="46" t="str">
        <f t="shared" si="20"/>
        <v>-</v>
      </c>
      <c r="K74" s="46">
        <f>($H$5/DAY(DATE(YEAR(TODAY()),MONTH(TODAY())+1,0)))*(7-COUNTBLANK(C71:I71))</f>
        <v>0</v>
      </c>
      <c r="L74" s="46" t="str">
        <f t="shared" si="21"/>
        <v>-</v>
      </c>
    </row>
    <row r="75" ht="15.75" customHeight="1">
      <c r="B75" s="51" t="s">
        <v>9</v>
      </c>
      <c r="C75" s="52"/>
      <c r="D75" s="53"/>
      <c r="E75" s="53"/>
      <c r="F75" s="53"/>
      <c r="G75" s="53"/>
      <c r="H75" s="53"/>
      <c r="I75" s="54"/>
      <c r="J75" s="46" t="str">
        <f t="shared" si="20"/>
        <v>-</v>
      </c>
      <c r="K75" s="55">
        <f>($J$5/DAY(DATE(YEAR(TODAY()),MONTH(TODAY())+1,0)))*(7-COUNTBLANK(C71:I71))</f>
        <v>0</v>
      </c>
      <c r="L75" s="46" t="str">
        <f t="shared" si="21"/>
        <v>-</v>
      </c>
    </row>
    <row r="76" ht="15.75" customHeight="1">
      <c r="B76" s="51" t="s">
        <v>10</v>
      </c>
      <c r="C76" s="52"/>
      <c r="D76" s="53"/>
      <c r="E76" s="53"/>
      <c r="F76" s="53"/>
      <c r="G76" s="53"/>
      <c r="H76" s="53"/>
      <c r="I76" s="54"/>
      <c r="J76" s="46" t="str">
        <f t="shared" si="20"/>
        <v>-</v>
      </c>
      <c r="K76" s="55">
        <f>($L$5/DAY(DATE(YEAR(TODAY()),MONTH(TODAY())+1,0)))*(7-COUNTBLANK(C71:I71))</f>
        <v>0</v>
      </c>
      <c r="L76" s="46" t="str">
        <f t="shared" si="21"/>
        <v>-</v>
      </c>
    </row>
    <row r="77" ht="15.75" customHeight="1">
      <c r="B77" s="41" t="s">
        <v>11</v>
      </c>
      <c r="C77" s="52"/>
      <c r="D77" s="53"/>
      <c r="E77" s="53"/>
      <c r="F77" s="53"/>
      <c r="G77" s="53"/>
      <c r="H77" s="53"/>
      <c r="I77" s="54"/>
      <c r="J77" s="46" t="str">
        <f t="shared" si="20"/>
        <v>-</v>
      </c>
      <c r="K77" s="55">
        <f>($N$5/DAY(DATE(YEAR(TODAY()),MONTH(TODAY())+1,0)))*(7-COUNTBLANK(C71:I71))</f>
        <v>0</v>
      </c>
      <c r="L77" s="46" t="str">
        <f t="shared" si="21"/>
        <v>-</v>
      </c>
    </row>
    <row r="78" ht="15.75" customHeight="1">
      <c r="B78" s="56" t="s">
        <v>12</v>
      </c>
      <c r="C78" s="52"/>
      <c r="D78" s="53"/>
      <c r="E78" s="53"/>
      <c r="F78" s="53"/>
      <c r="G78" s="53"/>
      <c r="H78" s="53"/>
      <c r="I78" s="54"/>
      <c r="J78" s="46" t="str">
        <f t="shared" si="20"/>
        <v>-</v>
      </c>
      <c r="K78" s="55">
        <f>($P$5/DAY(DATE(YEAR(TODAY()),MONTH(TODAY())+1,0)))*(7-COUNTBLANK(C71:I71))</f>
        <v>0</v>
      </c>
      <c r="L78" s="46" t="str">
        <f t="shared" si="21"/>
        <v>-</v>
      </c>
    </row>
    <row r="79" ht="15.75" customHeight="1">
      <c r="B79" s="56" t="s">
        <v>13</v>
      </c>
      <c r="C79" s="52"/>
      <c r="D79" s="53"/>
      <c r="E79" s="53"/>
      <c r="F79" s="53"/>
      <c r="G79" s="53"/>
      <c r="H79" s="53"/>
      <c r="I79" s="54"/>
      <c r="J79" s="46" t="str">
        <f t="shared" si="20"/>
        <v>-</v>
      </c>
      <c r="K79" s="55">
        <f>($R$5/DAY(DATE(YEAR(TODAY()),MONTH(TODAY())+1,0)))*(7-COUNTBLANK(C71:I71))</f>
        <v>0</v>
      </c>
      <c r="L79" s="46" t="str">
        <f t="shared" si="21"/>
        <v>-</v>
      </c>
    </row>
    <row r="80" ht="15.75" customHeight="1">
      <c r="B80" s="61" t="s">
        <v>14</v>
      </c>
      <c r="C80" s="86">
        <f t="shared" ref="C80:I80" si="22">sum(C73:C79)</f>
        <v>0</v>
      </c>
      <c r="D80" s="63">
        <f t="shared" si="22"/>
        <v>0</v>
      </c>
      <c r="E80" s="63">
        <f t="shared" si="22"/>
        <v>0</v>
      </c>
      <c r="F80" s="63">
        <f t="shared" si="22"/>
        <v>0</v>
      </c>
      <c r="G80" s="63">
        <f t="shared" si="22"/>
        <v>0</v>
      </c>
      <c r="H80" s="63">
        <f t="shared" si="22"/>
        <v>0</v>
      </c>
      <c r="I80" s="83">
        <f t="shared" si="22"/>
        <v>0</v>
      </c>
      <c r="J80" s="66">
        <f>sum(C80:I80)</f>
        <v>0</v>
      </c>
      <c r="K80" s="67">
        <f>sum(K73:K79)</f>
        <v>0</v>
      </c>
      <c r="L80" s="67">
        <f t="shared" si="21"/>
        <v>0</v>
      </c>
    </row>
    <row r="81" ht="15.75" customHeight="1">
      <c r="B81" s="68" t="s">
        <v>15</v>
      </c>
      <c r="C81" s="69">
        <f t="shared" ref="C81:K81" si="23">iferror(C72/C80,0)</f>
        <v>0</v>
      </c>
      <c r="D81" s="70">
        <f t="shared" si="23"/>
        <v>0</v>
      </c>
      <c r="E81" s="70">
        <f t="shared" si="23"/>
        <v>0</v>
      </c>
      <c r="F81" s="70">
        <f t="shared" si="23"/>
        <v>0</v>
      </c>
      <c r="G81" s="70">
        <f t="shared" si="23"/>
        <v>0</v>
      </c>
      <c r="H81" s="70">
        <f t="shared" si="23"/>
        <v>0</v>
      </c>
      <c r="I81" s="71">
        <f t="shared" si="23"/>
        <v>0</v>
      </c>
      <c r="J81" s="72">
        <f t="shared" si="23"/>
        <v>0</v>
      </c>
      <c r="K81" s="73">
        <f t="shared" si="23"/>
        <v>0</v>
      </c>
      <c r="L81" s="73">
        <f t="shared" ref="L81:L82" si="24">iferror(J81-K81,0)</f>
        <v>0</v>
      </c>
    </row>
    <row r="82" ht="15.75" customHeight="1">
      <c r="B82" s="74" t="s">
        <v>33</v>
      </c>
      <c r="C82" s="75"/>
      <c r="D82" s="76"/>
      <c r="E82" s="76"/>
      <c r="F82" s="76"/>
      <c r="G82" s="76"/>
      <c r="H82" s="76"/>
      <c r="I82" s="77"/>
      <c r="J82" s="78"/>
      <c r="K82" s="78"/>
      <c r="L82" s="78">
        <f t="shared" si="24"/>
        <v>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V2"/>
    <mergeCell ref="E4:G4"/>
    <mergeCell ref="J4:L4"/>
    <mergeCell ref="U4:V4"/>
  </mergeCells>
  <conditionalFormatting sqref="L11:L21 L26:L37 L42:L52 L57:L67 L72:L82">
    <cfRule type="cellIs" dxfId="0" priority="1" operator="greaterThan">
      <formula>0</formula>
    </cfRule>
  </conditionalFormatting>
  <conditionalFormatting sqref="L11:L21 L26:L37 L42:L52 L57:L67 L72:L82">
    <cfRule type="cellIs" dxfId="1" priority="2" operator="lessThan">
      <formula>0</formula>
    </cfRule>
  </conditionalFormatting>
  <conditionalFormatting sqref="D7 F7 H7 J7 L7 N7 P7 R7 T7 V7">
    <cfRule type="cellIs" dxfId="1" priority="3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87" t="s">
        <v>38</v>
      </c>
      <c r="C4" s="3"/>
      <c r="D4" s="4"/>
      <c r="E4" s="113" t="s">
        <v>77</v>
      </c>
      <c r="H4" s="4"/>
      <c r="I4" s="4" t="s">
        <v>2</v>
      </c>
      <c r="J4" s="4" t="s">
        <v>3</v>
      </c>
      <c r="M4" s="5"/>
      <c r="N4" s="5"/>
      <c r="O4" s="5"/>
      <c r="P4" s="5"/>
      <c r="Q4" s="5"/>
      <c r="R4" s="5"/>
      <c r="S4" s="5"/>
      <c r="T4" s="5"/>
      <c r="U4" s="5" t="s">
        <v>4</v>
      </c>
    </row>
    <row r="5" ht="15.75" customHeight="1">
      <c r="B5" s="6" t="s">
        <v>5</v>
      </c>
      <c r="C5" s="7" t="s">
        <v>6</v>
      </c>
      <c r="D5" s="114"/>
      <c r="E5" s="7" t="s">
        <v>7</v>
      </c>
      <c r="F5" s="9">
        <v>3.0</v>
      </c>
      <c r="G5" s="7" t="s">
        <v>8</v>
      </c>
      <c r="H5" s="10"/>
      <c r="I5" s="7" t="s">
        <v>9</v>
      </c>
      <c r="J5" s="10"/>
      <c r="K5" s="7" t="s">
        <v>10</v>
      </c>
      <c r="L5" s="10">
        <v>0.0</v>
      </c>
      <c r="M5" s="7" t="s">
        <v>11</v>
      </c>
      <c r="N5" s="9">
        <v>12.0</v>
      </c>
      <c r="O5" s="7" t="s">
        <v>12</v>
      </c>
      <c r="P5" s="9">
        <v>9.0</v>
      </c>
      <c r="Q5" s="7" t="s">
        <v>13</v>
      </c>
      <c r="R5" s="10"/>
      <c r="S5" s="7" t="s">
        <v>14</v>
      </c>
      <c r="T5" s="10">
        <f>SUM(E5:R5)</f>
        <v>24</v>
      </c>
      <c r="U5" s="7" t="s">
        <v>15</v>
      </c>
      <c r="V5" s="11">
        <f>iferror(D5/T5,"-")</f>
        <v>0</v>
      </c>
    </row>
    <row r="6" ht="15.75" customHeight="1">
      <c r="B6" s="12" t="s">
        <v>16</v>
      </c>
      <c r="C6" s="13" t="s">
        <v>6</v>
      </c>
      <c r="D6" s="14">
        <v>859000.0</v>
      </c>
      <c r="E6" s="13" t="s">
        <v>7</v>
      </c>
      <c r="F6" s="14">
        <v>3.0</v>
      </c>
      <c r="G6" s="13" t="s">
        <v>8</v>
      </c>
      <c r="H6" s="15">
        <f>IFERROR(__xludf.DUMMYFUNCTION("SUM(FILTER($J10:$J1025,$B10:$B1025=G6))"),0.0)</f>
        <v>0</v>
      </c>
      <c r="I6" s="13" t="s">
        <v>9</v>
      </c>
      <c r="J6" s="15">
        <f>IFERROR(__xludf.DUMMYFUNCTION("SUM(FILTER($J10:$J1025,$B10:$B1025=I6))"),0.0)</f>
        <v>0</v>
      </c>
      <c r="K6" s="13" t="s">
        <v>10</v>
      </c>
      <c r="L6" s="15">
        <f>IFERROR(__xludf.DUMMYFUNCTION("SUM(FILTER($J10:$J1025,$B10:$B1025=K6))"),0.0)</f>
        <v>0</v>
      </c>
      <c r="M6" s="13" t="s">
        <v>11</v>
      </c>
      <c r="N6" s="15">
        <f>IFERROR(__xludf.DUMMYFUNCTION("SUM(FILTER($J10:$J1025,$B10:$B1025=M6))"),0.0)</f>
        <v>0</v>
      </c>
      <c r="O6" s="13" t="s">
        <v>12</v>
      </c>
      <c r="P6" s="14">
        <v>9.0</v>
      </c>
      <c r="Q6" s="13" t="s">
        <v>13</v>
      </c>
      <c r="R6" s="15">
        <f>IFERROR(__xludf.DUMMYFUNCTION("SUM(FILTER($J10:$J1025,$B10:$B1025=Q6))"),0.0)</f>
        <v>0</v>
      </c>
      <c r="S6" s="13" t="s">
        <v>14</v>
      </c>
      <c r="T6" s="14">
        <v>24.0</v>
      </c>
      <c r="U6" s="13" t="s">
        <v>15</v>
      </c>
      <c r="V6" s="16">
        <f>iferror(D6/T6,0)</f>
        <v>35791.66667</v>
      </c>
    </row>
    <row r="7" ht="15.75" customHeight="1">
      <c r="B7" s="17" t="s">
        <v>17</v>
      </c>
      <c r="C7" s="18" t="s">
        <v>6</v>
      </c>
      <c r="D7" s="19">
        <f>D6-D5</f>
        <v>859000</v>
      </c>
      <c r="E7" s="18" t="s">
        <v>7</v>
      </c>
      <c r="F7" s="19">
        <f>F6-F5</f>
        <v>0</v>
      </c>
      <c r="G7" s="18" t="s">
        <v>8</v>
      </c>
      <c r="H7" s="19">
        <f>H6-H5</f>
        <v>0</v>
      </c>
      <c r="I7" s="18" t="s">
        <v>9</v>
      </c>
      <c r="J7" s="19">
        <f>J6-J5</f>
        <v>0</v>
      </c>
      <c r="K7" s="18" t="s">
        <v>10</v>
      </c>
      <c r="L7" s="19">
        <f>L6-L5</f>
        <v>0</v>
      </c>
      <c r="M7" s="18" t="s">
        <v>11</v>
      </c>
      <c r="N7" s="19">
        <f>N6-N5</f>
        <v>-12</v>
      </c>
      <c r="O7" s="18" t="s">
        <v>12</v>
      </c>
      <c r="P7" s="19">
        <f>P6-P5</f>
        <v>0</v>
      </c>
      <c r="Q7" s="18" t="s">
        <v>13</v>
      </c>
      <c r="R7" s="19">
        <f>R6-R5</f>
        <v>0</v>
      </c>
      <c r="S7" s="18" t="s">
        <v>14</v>
      </c>
      <c r="T7" s="19">
        <f>T6-T5</f>
        <v>0</v>
      </c>
      <c r="U7" s="18" t="s">
        <v>15</v>
      </c>
      <c r="V7" s="20">
        <f>V6-V5</f>
        <v>35791.66667</v>
      </c>
    </row>
    <row r="8" ht="17.25" customHeight="1"/>
    <row r="9" ht="15.75" customHeight="1">
      <c r="B9" s="21" t="s">
        <v>18</v>
      </c>
    </row>
    <row r="10" ht="15.75" customHeight="1">
      <c r="B10" s="22" t="s">
        <v>19</v>
      </c>
      <c r="C10" s="23"/>
      <c r="D10" s="24"/>
      <c r="E10" s="84"/>
      <c r="F10" s="84"/>
      <c r="G10" s="84"/>
      <c r="H10" s="24" t="s">
        <v>39</v>
      </c>
      <c r="I10" s="84"/>
      <c r="J10" s="25" t="s">
        <v>20</v>
      </c>
      <c r="K10" s="25" t="s">
        <v>21</v>
      </c>
      <c r="L10" s="25" t="s">
        <v>17</v>
      </c>
      <c r="N10" s="26" t="s">
        <v>22</v>
      </c>
      <c r="O10" s="27">
        <f>SUM(O11:O31)</f>
        <v>0</v>
      </c>
      <c r="Q10" s="28"/>
      <c r="R10" s="29"/>
      <c r="S10" s="30" t="s">
        <v>6</v>
      </c>
      <c r="T10" s="30" t="s">
        <v>12</v>
      </c>
      <c r="U10" s="30" t="s">
        <v>7</v>
      </c>
    </row>
    <row r="11" ht="15.75" customHeight="1">
      <c r="B11" s="31" t="s">
        <v>6</v>
      </c>
      <c r="C11" s="89"/>
      <c r="D11" s="33"/>
      <c r="E11" s="33"/>
      <c r="F11" s="33"/>
      <c r="G11" s="33"/>
      <c r="H11" s="33"/>
      <c r="I11" s="85"/>
      <c r="J11" s="36">
        <f>sum(C11:I11)</f>
        <v>0</v>
      </c>
      <c r="K11" s="37">
        <f>($D$5/DAY(DATE(YEAR(TODAY()),MONTH(TODAY())+1,0)))*(7-COUNTBLANK(C10:I10))</f>
        <v>0</v>
      </c>
      <c r="L11" s="37">
        <f>iferror(J11-K11,0)</f>
        <v>0</v>
      </c>
      <c r="N11" s="38"/>
      <c r="O11" s="39"/>
      <c r="Q11" s="28"/>
      <c r="R11" s="29" t="s">
        <v>23</v>
      </c>
      <c r="S11" s="40"/>
      <c r="T11" s="40"/>
      <c r="U11" s="40"/>
    </row>
    <row r="12" ht="15.75" customHeight="1">
      <c r="B12" s="41" t="s">
        <v>7</v>
      </c>
      <c r="C12" s="48"/>
      <c r="D12" s="43"/>
      <c r="E12" s="43"/>
      <c r="F12" s="43"/>
      <c r="G12" s="43"/>
      <c r="H12" s="43"/>
      <c r="I12" s="45"/>
      <c r="J12" s="46" t="str">
        <f t="shared" ref="J12:J18" si="1">if(sum(C12:I12) =0,"-",sum(C12:I12))</f>
        <v>-</v>
      </c>
      <c r="K12" s="46">
        <f>($F$5/DAY(DATE(YEAR(TODAY()),MONTH(TODAY())+1,0)))*(7-COUNTBLANK(C10:I10))</f>
        <v>0.1</v>
      </c>
      <c r="L12" s="46" t="str">
        <f t="shared" ref="L12:L19" si="2">iferror(J12-K12,"-")</f>
        <v>-</v>
      </c>
      <c r="N12" s="13"/>
      <c r="O12" s="47"/>
      <c r="R12" s="29" t="s">
        <v>24</v>
      </c>
      <c r="S12" s="40"/>
      <c r="T12" s="40"/>
      <c r="U12" s="40"/>
    </row>
    <row r="13" ht="15.75" customHeight="1">
      <c r="B13" s="41" t="s">
        <v>8</v>
      </c>
      <c r="C13" s="48"/>
      <c r="D13" s="43"/>
      <c r="E13" s="43"/>
      <c r="F13" s="43"/>
      <c r="G13" s="43"/>
      <c r="H13" s="43"/>
      <c r="I13" s="45"/>
      <c r="J13" s="46" t="str">
        <f t="shared" si="1"/>
        <v>-</v>
      </c>
      <c r="K13" s="46">
        <f>($H$5/DAY(DATE(YEAR(TODAY()),MONTH(TODAY())+1,0)))*(7-COUNTBLANK(C10:I10))</f>
        <v>0</v>
      </c>
      <c r="L13" s="46" t="str">
        <f t="shared" si="2"/>
        <v>-</v>
      </c>
      <c r="N13" s="49"/>
      <c r="O13" s="47"/>
      <c r="R13" s="50" t="s">
        <v>25</v>
      </c>
      <c r="S13" s="40"/>
      <c r="T13" s="40"/>
      <c r="U13" s="40"/>
    </row>
    <row r="14" ht="15.75" customHeight="1">
      <c r="B14" s="51" t="s">
        <v>9</v>
      </c>
      <c r="C14" s="52"/>
      <c r="D14" s="53"/>
      <c r="E14" s="53"/>
      <c r="F14" s="53"/>
      <c r="G14" s="53"/>
      <c r="H14" s="53"/>
      <c r="I14" s="54"/>
      <c r="J14" s="46" t="str">
        <f t="shared" si="1"/>
        <v>-</v>
      </c>
      <c r="K14" s="55">
        <f>($J$5/DAY(DATE(YEAR(TODAY()),MONTH(TODAY())+1,0)))*(7-COUNTBLANK(C10:I10))</f>
        <v>0</v>
      </c>
      <c r="L14" s="46" t="str">
        <f t="shared" si="2"/>
        <v>-</v>
      </c>
      <c r="N14" s="13"/>
      <c r="O14" s="47"/>
      <c r="R14" s="50"/>
      <c r="S14" s="50"/>
      <c r="T14" s="50"/>
      <c r="U14" s="50"/>
    </row>
    <row r="15" ht="15.75" customHeight="1">
      <c r="B15" s="51" t="s">
        <v>10</v>
      </c>
      <c r="C15" s="52"/>
      <c r="D15" s="53"/>
      <c r="E15" s="53"/>
      <c r="F15" s="53"/>
      <c r="G15" s="53"/>
      <c r="H15" s="53"/>
      <c r="I15" s="54"/>
      <c r="J15" s="46" t="str">
        <f t="shared" si="1"/>
        <v>-</v>
      </c>
      <c r="K15" s="55">
        <f>($L$5/DAY(DATE(YEAR(TODAY()),MONTH(TODAY())+1,0)))*(7-COUNTBLANK(C10:I10))</f>
        <v>0</v>
      </c>
      <c r="L15" s="46" t="str">
        <f t="shared" si="2"/>
        <v>-</v>
      </c>
      <c r="N15" s="49"/>
      <c r="O15" s="47"/>
      <c r="R15" s="50" t="s">
        <v>26</v>
      </c>
      <c r="S15" s="40" t="str">
        <f>AVERAGE(S11:S13)</f>
        <v>#DIV/0!</v>
      </c>
      <c r="T15" s="50"/>
      <c r="U15" s="50"/>
    </row>
    <row r="16" ht="15.75" customHeight="1">
      <c r="B16" s="41" t="s">
        <v>11</v>
      </c>
      <c r="C16" s="52"/>
      <c r="D16" s="53"/>
      <c r="E16" s="53"/>
      <c r="F16" s="53"/>
      <c r="G16" s="53"/>
      <c r="H16" s="53"/>
      <c r="I16" s="54"/>
      <c r="J16" s="46" t="str">
        <f t="shared" si="1"/>
        <v>-</v>
      </c>
      <c r="K16" s="55">
        <f>($N$5/DAY(DATE(YEAR(TODAY()),MONTH(TODAY())+1,0)))*(7-COUNTBLANK(C10:I10))</f>
        <v>0.4</v>
      </c>
      <c r="L16" s="46" t="str">
        <f t="shared" si="2"/>
        <v>-</v>
      </c>
      <c r="N16" s="49"/>
      <c r="O16" s="47"/>
      <c r="R16" s="50" t="s">
        <v>27</v>
      </c>
      <c r="S16" s="40" t="str">
        <f>AVERAGE(T11:T13)</f>
        <v>#DIV/0!</v>
      </c>
      <c r="T16" s="50"/>
      <c r="U16" s="50"/>
    </row>
    <row r="17" ht="15.75" customHeight="1">
      <c r="B17" s="56" t="s">
        <v>12</v>
      </c>
      <c r="C17" s="52"/>
      <c r="D17" s="53"/>
      <c r="E17" s="53"/>
      <c r="F17" s="53"/>
      <c r="G17" s="53"/>
      <c r="H17" s="53"/>
      <c r="I17" s="54"/>
      <c r="J17" s="46" t="str">
        <f t="shared" si="1"/>
        <v>-</v>
      </c>
      <c r="K17" s="55">
        <f>($P$5/DAY(DATE(YEAR(TODAY()),MONTH(TODAY())+1,0)))*(7-COUNTBLANK(C10:I10))</f>
        <v>0.3</v>
      </c>
      <c r="L17" s="46" t="str">
        <f t="shared" si="2"/>
        <v>-</v>
      </c>
      <c r="N17" s="49"/>
      <c r="O17" s="47"/>
      <c r="R17" s="50"/>
      <c r="S17" s="50"/>
      <c r="T17" s="50"/>
      <c r="U17" s="50"/>
    </row>
    <row r="18" ht="15.75" customHeight="1">
      <c r="B18" s="56" t="s">
        <v>13</v>
      </c>
      <c r="C18" s="52"/>
      <c r="D18" s="53"/>
      <c r="E18" s="53"/>
      <c r="F18" s="53"/>
      <c r="G18" s="53"/>
      <c r="H18" s="53"/>
      <c r="I18" s="54"/>
      <c r="J18" s="46" t="str">
        <f t="shared" si="1"/>
        <v>-</v>
      </c>
      <c r="K18" s="55">
        <f>($R$5/DAY(DATE(YEAR(TODAY()),MONTH(TODAY())+1,0)))*(7-COUNTBLANK(C10:I10))</f>
        <v>0</v>
      </c>
      <c r="L18" s="46" t="str">
        <f t="shared" si="2"/>
        <v>-</v>
      </c>
      <c r="N18" s="49"/>
      <c r="O18" s="47"/>
      <c r="R18" s="50" t="s">
        <v>28</v>
      </c>
      <c r="S18" s="60" t="str">
        <f>(P6+R6)/U11</f>
        <v>#DIV/0!</v>
      </c>
      <c r="T18" s="50"/>
      <c r="U18" s="50" t="s">
        <v>29</v>
      </c>
    </row>
    <row r="19" ht="15.75" customHeight="1">
      <c r="B19" s="61" t="s">
        <v>14</v>
      </c>
      <c r="C19" s="86"/>
      <c r="D19" s="63"/>
      <c r="E19" s="63"/>
      <c r="F19" s="63"/>
      <c r="G19" s="63"/>
      <c r="H19" s="63"/>
      <c r="I19" s="83"/>
      <c r="J19" s="66">
        <f>sum(C19:I19)</f>
        <v>0</v>
      </c>
      <c r="K19" s="67">
        <f>sum(K12:K18)</f>
        <v>0.8</v>
      </c>
      <c r="L19" s="67">
        <f t="shared" si="2"/>
        <v>-0.8</v>
      </c>
      <c r="N19" s="49"/>
      <c r="O19" s="47"/>
      <c r="R19" s="50" t="s">
        <v>30</v>
      </c>
      <c r="S19" s="60" t="str">
        <f>D6/D5</f>
        <v>#DIV/0!</v>
      </c>
      <c r="T19" s="50"/>
      <c r="U19" s="50"/>
    </row>
    <row r="20" ht="15.75" customHeight="1">
      <c r="B20" s="68" t="s">
        <v>15</v>
      </c>
      <c r="C20" s="69"/>
      <c r="D20" s="70"/>
      <c r="E20" s="70"/>
      <c r="F20" s="70"/>
      <c r="G20" s="70"/>
      <c r="H20" s="70"/>
      <c r="I20" s="71"/>
      <c r="J20" s="72">
        <f t="shared" ref="J20:K20" si="3">iferror(J11/J19,0)</f>
        <v>0</v>
      </c>
      <c r="K20" s="73">
        <f t="shared" si="3"/>
        <v>0</v>
      </c>
      <c r="L20" s="73">
        <f t="shared" ref="L20:L21" si="4">iferror(J20-K20,0)</f>
        <v>0</v>
      </c>
      <c r="N20" s="13"/>
      <c r="O20" s="47"/>
      <c r="R20" s="50" t="s">
        <v>31</v>
      </c>
      <c r="S20" s="60" t="str">
        <f>((D6/S11)-1)</f>
        <v>#DIV/0!</v>
      </c>
      <c r="T20" s="50"/>
      <c r="U20" s="50" t="s">
        <v>32</v>
      </c>
    </row>
    <row r="21" ht="15.75" customHeight="1">
      <c r="B21" s="74" t="s">
        <v>33</v>
      </c>
      <c r="C21" s="75"/>
      <c r="D21" s="76"/>
      <c r="E21" s="76"/>
      <c r="F21" s="76"/>
      <c r="G21" s="76"/>
      <c r="H21" s="76"/>
      <c r="I21" s="77"/>
      <c r="J21" s="78"/>
      <c r="K21" s="78"/>
      <c r="L21" s="78">
        <f t="shared" si="4"/>
        <v>0</v>
      </c>
      <c r="M21" s="79"/>
      <c r="N21" s="49"/>
      <c r="O21" s="47"/>
      <c r="P21" s="79"/>
      <c r="Q21" s="79"/>
      <c r="R21" s="79"/>
      <c r="S21" s="79"/>
      <c r="T21" s="79"/>
      <c r="U21" s="79"/>
      <c r="V21" s="79"/>
    </row>
    <row r="22" ht="18.0" customHeight="1">
      <c r="B22" s="79"/>
      <c r="J22" s="79"/>
      <c r="K22" s="79"/>
      <c r="L22" s="79"/>
      <c r="M22" s="79"/>
      <c r="N22" s="49"/>
      <c r="O22" s="47"/>
      <c r="P22" s="79"/>
      <c r="Q22" s="79"/>
      <c r="R22" s="79"/>
      <c r="T22" s="79"/>
      <c r="U22" s="79"/>
      <c r="V22" s="79"/>
    </row>
    <row r="23" ht="15.75" customHeight="1">
      <c r="B23" s="21" t="s">
        <v>34</v>
      </c>
      <c r="J23" s="79"/>
      <c r="K23" s="79"/>
      <c r="L23" s="79"/>
      <c r="N23" s="49"/>
      <c r="O23" s="47"/>
    </row>
    <row r="24" ht="15.75" customHeight="1">
      <c r="B24" s="21"/>
      <c r="J24" s="79"/>
      <c r="K24" s="79"/>
      <c r="L24" s="79"/>
      <c r="N24" s="49"/>
      <c r="O24" s="47"/>
    </row>
    <row r="25" ht="15.75" customHeight="1">
      <c r="B25" s="22" t="s">
        <v>19</v>
      </c>
      <c r="C25" s="111"/>
      <c r="D25" s="84"/>
      <c r="E25" s="84"/>
      <c r="F25" s="84"/>
      <c r="G25" s="84"/>
      <c r="H25" s="84"/>
      <c r="I25" s="84"/>
      <c r="J25" s="25" t="s">
        <v>20</v>
      </c>
      <c r="K25" s="25" t="s">
        <v>21</v>
      </c>
      <c r="L25" s="25" t="s">
        <v>17</v>
      </c>
      <c r="N25" s="50"/>
      <c r="O25" s="50"/>
    </row>
    <row r="26" ht="15.75" customHeight="1">
      <c r="B26" s="31" t="s">
        <v>6</v>
      </c>
      <c r="C26" s="89"/>
      <c r="D26" s="33"/>
      <c r="E26" s="33"/>
      <c r="F26" s="33"/>
      <c r="G26" s="33"/>
      <c r="H26" s="33"/>
      <c r="I26" s="85"/>
      <c r="J26" s="36">
        <f>sum(C26:I26)</f>
        <v>0</v>
      </c>
      <c r="K26" s="37">
        <f>($D$5/DAY(DATE(YEAR(TODAY()),MONTH(TODAY())+1,0)))*(7-COUNTBLANK(C25:I25))</f>
        <v>0</v>
      </c>
      <c r="L26" s="37">
        <f>iferror(J26-K26,0)</f>
        <v>0</v>
      </c>
      <c r="N26" s="50"/>
      <c r="O26" s="50"/>
    </row>
    <row r="27" ht="15.75" customHeight="1">
      <c r="B27" s="41" t="s">
        <v>7</v>
      </c>
      <c r="C27" s="48"/>
      <c r="D27" s="43"/>
      <c r="E27" s="43"/>
      <c r="F27" s="43"/>
      <c r="G27" s="43"/>
      <c r="H27" s="43"/>
      <c r="I27" s="45"/>
      <c r="J27" s="46" t="str">
        <f t="shared" ref="J27:J30" si="5">if(sum(C27:I27) =0,"-",sum(C27:I27))</f>
        <v>-</v>
      </c>
      <c r="K27" s="46">
        <f>($F$5/DAY(DATE(YEAR(TODAY()),MONTH(TODAY())+1,0)))*(7-COUNTBLANK(C25:I25))</f>
        <v>0</v>
      </c>
      <c r="L27" s="46" t="str">
        <f t="shared" ref="L27:L30" si="6">iferror(J27-K27,"-")</f>
        <v>-</v>
      </c>
      <c r="N27" s="50"/>
      <c r="O27" s="50"/>
    </row>
    <row r="28" ht="15.75" customHeight="1">
      <c r="B28" s="41" t="s">
        <v>8</v>
      </c>
      <c r="C28" s="48"/>
      <c r="D28" s="43"/>
      <c r="E28" s="43"/>
      <c r="F28" s="43"/>
      <c r="G28" s="43"/>
      <c r="H28" s="43"/>
      <c r="I28" s="45"/>
      <c r="J28" s="46" t="str">
        <f t="shared" si="5"/>
        <v>-</v>
      </c>
      <c r="K28" s="46">
        <f>($H$5/DAY(DATE(YEAR(TODAY()),MONTH(TODAY())+1,0)))*(7-COUNTBLANK(C25:I25))</f>
        <v>0</v>
      </c>
      <c r="L28" s="46" t="str">
        <f t="shared" si="6"/>
        <v>-</v>
      </c>
      <c r="N28" s="50"/>
      <c r="O28" s="50"/>
    </row>
    <row r="29" ht="15.75" customHeight="1">
      <c r="B29" s="51" t="s">
        <v>9</v>
      </c>
      <c r="C29" s="52"/>
      <c r="D29" s="53"/>
      <c r="E29" s="53"/>
      <c r="F29" s="53"/>
      <c r="G29" s="53"/>
      <c r="H29" s="53"/>
      <c r="I29" s="54"/>
      <c r="J29" s="46" t="str">
        <f t="shared" si="5"/>
        <v>-</v>
      </c>
      <c r="K29" s="55">
        <f>($J$5/DAY(DATE(YEAR(TODAY()),MONTH(TODAY())+1,0)))*(7-COUNTBLANK(C25:I25))</f>
        <v>0</v>
      </c>
      <c r="L29" s="46" t="str">
        <f t="shared" si="6"/>
        <v>-</v>
      </c>
      <c r="N29" s="50"/>
      <c r="O29" s="50"/>
      <c r="R29" s="82"/>
    </row>
    <row r="30" ht="15.75" customHeight="1">
      <c r="B30" s="51" t="s">
        <v>10</v>
      </c>
      <c r="C30" s="52"/>
      <c r="D30" s="53"/>
      <c r="E30" s="53"/>
      <c r="F30" s="53"/>
      <c r="G30" s="53"/>
      <c r="H30" s="53"/>
      <c r="I30" s="54"/>
      <c r="J30" s="46" t="str">
        <f t="shared" si="5"/>
        <v>-</v>
      </c>
      <c r="K30" s="55">
        <f>($L$5/DAY(DATE(YEAR(TODAY()),MONTH(TODAY())+1,0)))*(7-COUNTBLANK(C25:I25))</f>
        <v>0</v>
      </c>
      <c r="L30" s="46" t="str">
        <f t="shared" si="6"/>
        <v>-</v>
      </c>
      <c r="N30" s="50"/>
      <c r="O30" s="50"/>
    </row>
    <row r="31" ht="15.75" customHeight="1">
      <c r="B31" s="51"/>
      <c r="C31" s="52"/>
      <c r="D31" s="53"/>
      <c r="E31" s="53"/>
      <c r="F31" s="53"/>
      <c r="G31" s="53"/>
      <c r="H31" s="53"/>
      <c r="I31" s="54"/>
      <c r="J31" s="46"/>
      <c r="K31" s="55"/>
      <c r="L31" s="46"/>
      <c r="N31" s="50"/>
      <c r="O31" s="50"/>
    </row>
    <row r="32" ht="15.75" customHeight="1">
      <c r="B32" s="41" t="s">
        <v>11</v>
      </c>
      <c r="C32" s="52"/>
      <c r="D32" s="53"/>
      <c r="E32" s="53"/>
      <c r="F32" s="53"/>
      <c r="G32" s="53"/>
      <c r="H32" s="53"/>
      <c r="I32" s="54"/>
      <c r="J32" s="46" t="str">
        <f t="shared" ref="J32:J34" si="7">if(sum(C32:I32) =0,"-",sum(C32:I32))</f>
        <v>-</v>
      </c>
      <c r="K32" s="55">
        <f>($N$5/DAY(DATE(YEAR(TODAY()),MONTH(TODAY())+1,0)))*(7-COUNTBLANK(C25:I25))</f>
        <v>0</v>
      </c>
      <c r="L32" s="46" t="str">
        <f t="shared" ref="L32:L35" si="8">iferror(J32-K32,"-")</f>
        <v>-</v>
      </c>
    </row>
    <row r="33" ht="15.75" customHeight="1">
      <c r="B33" s="56" t="s">
        <v>12</v>
      </c>
      <c r="C33" s="52"/>
      <c r="D33" s="53"/>
      <c r="E33" s="53"/>
      <c r="F33" s="53"/>
      <c r="G33" s="53"/>
      <c r="H33" s="53"/>
      <c r="I33" s="54"/>
      <c r="J33" s="46" t="str">
        <f t="shared" si="7"/>
        <v>-</v>
      </c>
      <c r="K33" s="55">
        <f>($P$5/DAY(DATE(YEAR(TODAY()),MONTH(TODAY())+1,0)))*(7-COUNTBLANK(C25:I25))</f>
        <v>0</v>
      </c>
      <c r="L33" s="46" t="str">
        <f t="shared" si="8"/>
        <v>-</v>
      </c>
      <c r="M33" s="79"/>
      <c r="N33" s="79"/>
      <c r="O33" s="79"/>
      <c r="P33" s="79"/>
      <c r="Q33" s="79"/>
      <c r="R33" s="79"/>
      <c r="S33" s="79"/>
      <c r="T33" s="79"/>
      <c r="U33" s="79"/>
      <c r="V33" s="79"/>
    </row>
    <row r="34" ht="18.75" customHeight="1">
      <c r="B34" s="56" t="s">
        <v>13</v>
      </c>
      <c r="C34" s="52"/>
      <c r="D34" s="53"/>
      <c r="E34" s="53"/>
      <c r="F34" s="53"/>
      <c r="G34" s="53"/>
      <c r="H34" s="53"/>
      <c r="I34" s="54"/>
      <c r="J34" s="46" t="str">
        <f t="shared" si="7"/>
        <v>-</v>
      </c>
      <c r="K34" s="55">
        <f>($R$5/DAY(DATE(YEAR(TODAY()),MONTH(TODAY())+1,0)))*(7-COUNTBLANK(C25:I25))</f>
        <v>0</v>
      </c>
      <c r="L34" s="46" t="str">
        <f t="shared" si="8"/>
        <v>-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 ht="18.75" customHeight="1">
      <c r="B35" s="61" t="s">
        <v>14</v>
      </c>
      <c r="C35" s="86"/>
      <c r="D35" s="63"/>
      <c r="E35" s="63"/>
      <c r="F35" s="63"/>
      <c r="G35" s="63"/>
      <c r="H35" s="63"/>
      <c r="I35" s="83"/>
      <c r="J35" s="66">
        <f>sum(C35:I35)</f>
        <v>0</v>
      </c>
      <c r="K35" s="67">
        <f>sum(K27:K34)</f>
        <v>0</v>
      </c>
      <c r="L35" s="67">
        <f t="shared" si="8"/>
        <v>0</v>
      </c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 ht="18.75" customHeight="1">
      <c r="B36" s="68" t="s">
        <v>15</v>
      </c>
      <c r="C36" s="69"/>
      <c r="D36" s="70"/>
      <c r="E36" s="70"/>
      <c r="F36" s="70"/>
      <c r="G36" s="70"/>
      <c r="H36" s="70"/>
      <c r="I36" s="71"/>
      <c r="J36" s="72">
        <f t="shared" ref="J36:K36" si="9">iferror(J26/J35,0)</f>
        <v>0</v>
      </c>
      <c r="K36" s="73">
        <f t="shared" si="9"/>
        <v>0</v>
      </c>
      <c r="L36" s="73">
        <f t="shared" ref="L36:L37" si="10">iferror(J36-K36,0)</f>
        <v>0</v>
      </c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 ht="18.75" customHeight="1">
      <c r="B37" s="74" t="s">
        <v>33</v>
      </c>
      <c r="C37" s="75"/>
      <c r="D37" s="76"/>
      <c r="E37" s="76"/>
      <c r="F37" s="76"/>
      <c r="G37" s="76"/>
      <c r="H37" s="76"/>
      <c r="I37" s="77"/>
      <c r="J37" s="78"/>
      <c r="K37" s="78"/>
      <c r="L37" s="78">
        <f t="shared" si="10"/>
        <v>0</v>
      </c>
      <c r="M37" s="79"/>
      <c r="N37" s="79"/>
      <c r="O37" s="79"/>
      <c r="P37" s="79"/>
      <c r="Q37" s="79"/>
      <c r="R37" s="79"/>
      <c r="S37" s="79"/>
      <c r="T37" s="79"/>
      <c r="U37" s="79"/>
      <c r="V37" s="79"/>
    </row>
    <row r="38" ht="18.75" customHeight="1">
      <c r="B38" s="21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 ht="18.75" customHeight="1">
      <c r="B39" s="21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0" ht="15.75" customHeight="1">
      <c r="B40" s="21" t="s">
        <v>35</v>
      </c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 ht="15.75" customHeight="1">
      <c r="B41" s="22" t="s">
        <v>19</v>
      </c>
      <c r="C41" s="111"/>
      <c r="D41" s="84"/>
      <c r="E41" s="84"/>
      <c r="F41" s="84"/>
      <c r="G41" s="84"/>
      <c r="H41" s="84"/>
      <c r="I41" s="84"/>
      <c r="J41" s="25" t="s">
        <v>20</v>
      </c>
      <c r="K41" s="25" t="s">
        <v>21</v>
      </c>
      <c r="L41" s="25" t="s">
        <v>17</v>
      </c>
    </row>
    <row r="42" ht="15.75" customHeight="1">
      <c r="B42" s="31" t="s">
        <v>6</v>
      </c>
      <c r="C42" s="89"/>
      <c r="D42" s="33"/>
      <c r="E42" s="33"/>
      <c r="F42" s="33"/>
      <c r="G42" s="33"/>
      <c r="H42" s="33"/>
      <c r="I42" s="85"/>
      <c r="J42" s="36">
        <f>sum(C42:I42)</f>
        <v>0</v>
      </c>
      <c r="K42" s="37">
        <f>($D$5/DAY(DATE(YEAR(TODAY()),MONTH(TODAY())+1,0)))*(7-COUNTBLANK(C41:I41))</f>
        <v>0</v>
      </c>
      <c r="L42" s="37">
        <f>iferror(J42-K42,0)</f>
        <v>0</v>
      </c>
    </row>
    <row r="43" ht="15.75" customHeight="1">
      <c r="B43" s="41" t="s">
        <v>7</v>
      </c>
      <c r="C43" s="48"/>
      <c r="D43" s="43"/>
      <c r="E43" s="43"/>
      <c r="F43" s="43"/>
      <c r="G43" s="43"/>
      <c r="H43" s="43"/>
      <c r="I43" s="45"/>
      <c r="J43" s="46" t="str">
        <f t="shared" ref="J43:J49" si="11">if(sum(C43:I43) =0,"-",sum(C43:I43))</f>
        <v>-</v>
      </c>
      <c r="K43" s="46">
        <f>($F$5/DAY(DATE(YEAR(TODAY()),MONTH(TODAY())+1,0)))*(7-COUNTBLANK(C41:I41))</f>
        <v>0</v>
      </c>
      <c r="L43" s="46" t="str">
        <f t="shared" ref="L43:L50" si="12">iferror(J43-K43,"-")</f>
        <v>-</v>
      </c>
    </row>
    <row r="44" ht="15.75" customHeight="1">
      <c r="B44" s="41" t="s">
        <v>8</v>
      </c>
      <c r="C44" s="48"/>
      <c r="D44" s="43"/>
      <c r="E44" s="43"/>
      <c r="F44" s="43"/>
      <c r="G44" s="43"/>
      <c r="H44" s="43"/>
      <c r="I44" s="45"/>
      <c r="J44" s="46" t="str">
        <f t="shared" si="11"/>
        <v>-</v>
      </c>
      <c r="K44" s="46">
        <f>($H$5/DAY(DATE(YEAR(TODAY()),MONTH(TODAY())+1,0)))*(7-COUNTBLANK(C41:I41))</f>
        <v>0</v>
      </c>
      <c r="L44" s="46" t="str">
        <f t="shared" si="12"/>
        <v>-</v>
      </c>
    </row>
    <row r="45" ht="15.75" customHeight="1">
      <c r="B45" s="51" t="s">
        <v>9</v>
      </c>
      <c r="C45" s="52"/>
      <c r="D45" s="53"/>
      <c r="E45" s="53"/>
      <c r="F45" s="53"/>
      <c r="G45" s="53"/>
      <c r="H45" s="53"/>
      <c r="I45" s="54"/>
      <c r="J45" s="46" t="str">
        <f t="shared" si="11"/>
        <v>-</v>
      </c>
      <c r="K45" s="55">
        <f>($J$5/DAY(DATE(YEAR(TODAY()),MONTH(TODAY())+1,0)))*(7-COUNTBLANK(C41:I41))</f>
        <v>0</v>
      </c>
      <c r="L45" s="46" t="str">
        <f t="shared" si="12"/>
        <v>-</v>
      </c>
    </row>
    <row r="46" ht="15.75" customHeight="1">
      <c r="B46" s="51" t="s">
        <v>10</v>
      </c>
      <c r="C46" s="52"/>
      <c r="D46" s="53"/>
      <c r="E46" s="53"/>
      <c r="F46" s="53"/>
      <c r="G46" s="53"/>
      <c r="H46" s="53"/>
      <c r="I46" s="54"/>
      <c r="J46" s="46" t="str">
        <f t="shared" si="11"/>
        <v>-</v>
      </c>
      <c r="K46" s="55">
        <f>($L$5/DAY(DATE(YEAR(TODAY()),MONTH(TODAY())+1,0)))*(7-COUNTBLANK(C41:I41))</f>
        <v>0</v>
      </c>
      <c r="L46" s="46" t="str">
        <f t="shared" si="12"/>
        <v>-</v>
      </c>
    </row>
    <row r="47" ht="15.75" customHeight="1">
      <c r="B47" s="41" t="s">
        <v>11</v>
      </c>
      <c r="C47" s="52"/>
      <c r="D47" s="53"/>
      <c r="E47" s="53"/>
      <c r="F47" s="53"/>
      <c r="G47" s="53"/>
      <c r="H47" s="53"/>
      <c r="I47" s="54"/>
      <c r="J47" s="46" t="str">
        <f t="shared" si="11"/>
        <v>-</v>
      </c>
      <c r="K47" s="55">
        <f>($N$5/DAY(DATE(YEAR(TODAY()),MONTH(TODAY())+1,0)))*(7-COUNTBLANK(C41:I41))</f>
        <v>0</v>
      </c>
      <c r="L47" s="46" t="str">
        <f t="shared" si="12"/>
        <v>-</v>
      </c>
    </row>
    <row r="48" ht="15.75" customHeight="1">
      <c r="B48" s="56" t="s">
        <v>12</v>
      </c>
      <c r="C48" s="52"/>
      <c r="D48" s="53"/>
      <c r="E48" s="53"/>
      <c r="F48" s="53"/>
      <c r="G48" s="53"/>
      <c r="H48" s="53"/>
      <c r="I48" s="54"/>
      <c r="J48" s="46" t="str">
        <f t="shared" si="11"/>
        <v>-</v>
      </c>
      <c r="K48" s="55">
        <f>($P$5/DAY(DATE(YEAR(TODAY()),MONTH(TODAY())+1,0)))*(7-COUNTBLANK(C41:I41))</f>
        <v>0</v>
      </c>
      <c r="L48" s="46" t="str">
        <f t="shared" si="12"/>
        <v>-</v>
      </c>
    </row>
    <row r="49" ht="15.75" customHeight="1">
      <c r="B49" s="56" t="s">
        <v>13</v>
      </c>
      <c r="C49" s="52"/>
      <c r="D49" s="53"/>
      <c r="E49" s="53"/>
      <c r="F49" s="53"/>
      <c r="G49" s="53"/>
      <c r="H49" s="53"/>
      <c r="I49" s="54"/>
      <c r="J49" s="46" t="str">
        <f t="shared" si="11"/>
        <v>-</v>
      </c>
      <c r="K49" s="55">
        <f>($R$5/DAY(DATE(YEAR(TODAY()),MONTH(TODAY())+1,0)))*(7-COUNTBLANK(C41:I41))</f>
        <v>0</v>
      </c>
      <c r="L49" s="46" t="str">
        <f t="shared" si="12"/>
        <v>-</v>
      </c>
    </row>
    <row r="50" ht="15.75" customHeight="1">
      <c r="B50" s="61" t="s">
        <v>14</v>
      </c>
      <c r="C50" s="86"/>
      <c r="D50" s="63"/>
      <c r="E50" s="63"/>
      <c r="F50" s="63"/>
      <c r="G50" s="63"/>
      <c r="H50" s="63"/>
      <c r="I50" s="83"/>
      <c r="J50" s="66">
        <f>sum(C50:I50)</f>
        <v>0</v>
      </c>
      <c r="K50" s="67">
        <f>sum(K43:K49)</f>
        <v>0</v>
      </c>
      <c r="L50" s="67">
        <f t="shared" si="12"/>
        <v>0</v>
      </c>
    </row>
    <row r="51" ht="15.75" customHeight="1">
      <c r="B51" s="68" t="s">
        <v>15</v>
      </c>
      <c r="C51" s="69"/>
      <c r="D51" s="70"/>
      <c r="E51" s="70"/>
      <c r="F51" s="70"/>
      <c r="G51" s="70"/>
      <c r="H51" s="70"/>
      <c r="I51" s="71"/>
      <c r="J51" s="72">
        <f t="shared" ref="J51:K51" si="13">iferror(J42/J50,0)</f>
        <v>0</v>
      </c>
      <c r="K51" s="73">
        <f t="shared" si="13"/>
        <v>0</v>
      </c>
      <c r="L51" s="73">
        <f t="shared" ref="L51:L52" si="14">iferror(J51-K51,0)</f>
        <v>0</v>
      </c>
    </row>
    <row r="52" ht="15.75" customHeight="1">
      <c r="B52" s="74" t="s">
        <v>33</v>
      </c>
      <c r="C52" s="75"/>
      <c r="D52" s="76"/>
      <c r="E52" s="76"/>
      <c r="F52" s="76"/>
      <c r="G52" s="76"/>
      <c r="H52" s="76"/>
      <c r="I52" s="77"/>
      <c r="J52" s="78"/>
      <c r="K52" s="78"/>
      <c r="L52" s="78">
        <f t="shared" si="14"/>
        <v>0</v>
      </c>
    </row>
    <row r="53" ht="15.75" customHeight="1"/>
    <row r="54" ht="15.75" customHeight="1"/>
    <row r="55" ht="15.75" customHeight="1">
      <c r="B55" s="21" t="s">
        <v>36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 ht="15.75" customHeight="1">
      <c r="B56" s="22" t="s">
        <v>19</v>
      </c>
      <c r="C56" s="111"/>
      <c r="D56" s="84"/>
      <c r="E56" s="84"/>
      <c r="F56" s="84"/>
      <c r="G56" s="84"/>
      <c r="H56" s="84"/>
      <c r="I56" s="84"/>
      <c r="J56" s="25" t="s">
        <v>20</v>
      </c>
      <c r="K56" s="25" t="s">
        <v>21</v>
      </c>
      <c r="L56" s="25" t="s">
        <v>17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 ht="15.75" customHeight="1">
      <c r="B57" s="31" t="s">
        <v>6</v>
      </c>
      <c r="C57" s="89"/>
      <c r="D57" s="33"/>
      <c r="E57" s="33"/>
      <c r="F57" s="33"/>
      <c r="G57" s="33"/>
      <c r="H57" s="33"/>
      <c r="I57" s="85"/>
      <c r="J57" s="36">
        <f>sum(C57:I57)</f>
        <v>0</v>
      </c>
      <c r="K57" s="37">
        <f>($D$5/DAY(DATE(YEAR(TODAY()),MONTH(TODAY())+1,0)))*(7-COUNTBLANK(C56:I56))</f>
        <v>0</v>
      </c>
      <c r="L57" s="37">
        <f>iferror(J57-K57,0)</f>
        <v>0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 ht="15.75" customHeight="1">
      <c r="B58" s="41" t="s">
        <v>7</v>
      </c>
      <c r="C58" s="48"/>
      <c r="D58" s="43"/>
      <c r="E58" s="43"/>
      <c r="F58" s="43"/>
      <c r="G58" s="43"/>
      <c r="H58" s="43"/>
      <c r="I58" s="45"/>
      <c r="J58" s="46" t="str">
        <f t="shared" ref="J58:J64" si="15">if(sum(C58:I58) =0,"-",sum(C58:I58))</f>
        <v>-</v>
      </c>
      <c r="K58" s="46">
        <f>($F$5/DAY(DATE(YEAR(TODAY()),MONTH(TODAY())+1,0)))*(7-COUNTBLANK(C56:I56))</f>
        <v>0</v>
      </c>
      <c r="L58" s="46" t="str">
        <f t="shared" ref="L58:L65" si="16">iferror(J58-K58,"-")</f>
        <v>-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 ht="15.75" customHeight="1">
      <c r="B59" s="41" t="s">
        <v>8</v>
      </c>
      <c r="C59" s="48"/>
      <c r="D59" s="43"/>
      <c r="E59" s="43"/>
      <c r="F59" s="43"/>
      <c r="G59" s="43"/>
      <c r="H59" s="43"/>
      <c r="I59" s="45"/>
      <c r="J59" s="46" t="str">
        <f t="shared" si="15"/>
        <v>-</v>
      </c>
      <c r="K59" s="46">
        <f>($H$5/DAY(DATE(YEAR(TODAY()),MONTH(TODAY())+1,0)))*(7-COUNTBLANK(C56:I56))</f>
        <v>0</v>
      </c>
      <c r="L59" s="46" t="str">
        <f t="shared" si="16"/>
        <v>-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 ht="15.75" customHeight="1">
      <c r="B60" s="51" t="s">
        <v>9</v>
      </c>
      <c r="C60" s="52"/>
      <c r="D60" s="53"/>
      <c r="E60" s="53"/>
      <c r="F60" s="53"/>
      <c r="G60" s="53"/>
      <c r="H60" s="53"/>
      <c r="I60" s="54"/>
      <c r="J60" s="46" t="str">
        <f t="shared" si="15"/>
        <v>-</v>
      </c>
      <c r="K60" s="55">
        <f>($J$5/DAY(DATE(YEAR(TODAY()),MONTH(TODAY())+1,0)))*(7-COUNTBLANK(C56:I56))</f>
        <v>0</v>
      </c>
      <c r="L60" s="46" t="str">
        <f t="shared" si="16"/>
        <v>-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 ht="15.75" customHeight="1">
      <c r="B61" s="51" t="s">
        <v>10</v>
      </c>
      <c r="C61" s="52"/>
      <c r="D61" s="53"/>
      <c r="E61" s="53"/>
      <c r="F61" s="53"/>
      <c r="G61" s="53"/>
      <c r="H61" s="53"/>
      <c r="I61" s="54"/>
      <c r="J61" s="46" t="str">
        <f t="shared" si="15"/>
        <v>-</v>
      </c>
      <c r="K61" s="55">
        <f>($L$5/DAY(DATE(YEAR(TODAY()),MONTH(TODAY())+1,0)))*(7-COUNTBLANK(C56:I56))</f>
        <v>0</v>
      </c>
      <c r="L61" s="46" t="str">
        <f t="shared" si="16"/>
        <v>-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 ht="15.75" customHeight="1">
      <c r="B62" s="41" t="s">
        <v>11</v>
      </c>
      <c r="C62" s="52"/>
      <c r="D62" s="53"/>
      <c r="E62" s="53"/>
      <c r="F62" s="53"/>
      <c r="G62" s="53"/>
      <c r="H62" s="53"/>
      <c r="I62" s="54"/>
      <c r="J62" s="46" t="str">
        <f t="shared" si="15"/>
        <v>-</v>
      </c>
      <c r="K62" s="55">
        <f>($N$5/DAY(DATE(YEAR(TODAY()),MONTH(TODAY())+1,0)))*(7-COUNTBLANK(C56:I56))</f>
        <v>0</v>
      </c>
      <c r="L62" s="46" t="str">
        <f t="shared" si="16"/>
        <v>-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 ht="15.75" customHeight="1">
      <c r="B63" s="56" t="s">
        <v>12</v>
      </c>
      <c r="C63" s="52"/>
      <c r="D63" s="53"/>
      <c r="E63" s="53"/>
      <c r="F63" s="53"/>
      <c r="G63" s="53"/>
      <c r="H63" s="53"/>
      <c r="I63" s="54"/>
      <c r="J63" s="46" t="str">
        <f t="shared" si="15"/>
        <v>-</v>
      </c>
      <c r="K63" s="55">
        <f>($P$5/DAY(DATE(YEAR(TODAY()),MONTH(TODAY())+1,0)))*(7-COUNTBLANK(C56:I56))</f>
        <v>0</v>
      </c>
      <c r="L63" s="46" t="str">
        <f t="shared" si="16"/>
        <v>-</v>
      </c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 ht="15.75" customHeight="1">
      <c r="B64" s="56" t="s">
        <v>13</v>
      </c>
      <c r="C64" s="52"/>
      <c r="D64" s="53"/>
      <c r="E64" s="53"/>
      <c r="F64" s="53"/>
      <c r="G64" s="53"/>
      <c r="H64" s="53"/>
      <c r="I64" s="54"/>
      <c r="J64" s="46" t="str">
        <f t="shared" si="15"/>
        <v>-</v>
      </c>
      <c r="K64" s="55">
        <f>($R$5/DAY(DATE(YEAR(TODAY()),MONTH(TODAY())+1,0)))*(7-COUNTBLANK(C56:I56))</f>
        <v>0</v>
      </c>
      <c r="L64" s="46" t="str">
        <f t="shared" si="16"/>
        <v>-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 ht="15.75" customHeight="1">
      <c r="B65" s="61" t="s">
        <v>14</v>
      </c>
      <c r="C65" s="86"/>
      <c r="D65" s="63"/>
      <c r="E65" s="63"/>
      <c r="F65" s="63"/>
      <c r="G65" s="63"/>
      <c r="H65" s="63"/>
      <c r="I65" s="83"/>
      <c r="J65" s="66">
        <f>sum(C65:I65)</f>
        <v>0</v>
      </c>
      <c r="K65" s="67">
        <f>sum(K58:K64)</f>
        <v>0</v>
      </c>
      <c r="L65" s="67">
        <f t="shared" si="16"/>
        <v>0</v>
      </c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 ht="15.75" customHeight="1">
      <c r="B66" s="68" t="s">
        <v>15</v>
      </c>
      <c r="C66" s="69"/>
      <c r="D66" s="70"/>
      <c r="E66" s="70"/>
      <c r="F66" s="70"/>
      <c r="G66" s="70"/>
      <c r="H66" s="70"/>
      <c r="I66" s="71"/>
      <c r="J66" s="72">
        <f t="shared" ref="J66:K66" si="17">iferror(J57/J65,0)</f>
        <v>0</v>
      </c>
      <c r="K66" s="73">
        <f t="shared" si="17"/>
        <v>0</v>
      </c>
      <c r="L66" s="73">
        <f t="shared" ref="L66:L67" si="18">iferror(J66-K66,0)</f>
        <v>0</v>
      </c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 ht="15.75" customHeight="1">
      <c r="B67" s="74" t="s">
        <v>33</v>
      </c>
      <c r="C67" s="75"/>
      <c r="D67" s="76"/>
      <c r="E67" s="76"/>
      <c r="F67" s="76"/>
      <c r="G67" s="76"/>
      <c r="H67" s="76"/>
      <c r="I67" s="77"/>
      <c r="J67" s="78"/>
      <c r="K67" s="78"/>
      <c r="L67" s="78">
        <f t="shared" si="18"/>
        <v>0</v>
      </c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 ht="15.75" customHeight="1">
      <c r="B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 ht="15.75" customHeight="1">
      <c r="B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 ht="15.75" customHeight="1">
      <c r="B70" s="21" t="s">
        <v>37</v>
      </c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 ht="15.75" customHeight="1">
      <c r="B71" s="22" t="s">
        <v>19</v>
      </c>
      <c r="C71" s="111"/>
      <c r="D71" s="84"/>
      <c r="E71" s="84"/>
      <c r="F71" s="84"/>
      <c r="G71" s="84"/>
      <c r="H71" s="84"/>
      <c r="I71" s="84"/>
      <c r="J71" s="25" t="s">
        <v>20</v>
      </c>
      <c r="K71" s="25" t="s">
        <v>21</v>
      </c>
      <c r="L71" s="25" t="s">
        <v>17</v>
      </c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 ht="15.75" customHeight="1">
      <c r="B72" s="31" t="s">
        <v>6</v>
      </c>
      <c r="C72" s="89"/>
      <c r="D72" s="33"/>
      <c r="E72" s="33"/>
      <c r="F72" s="33"/>
      <c r="G72" s="33"/>
      <c r="H72" s="33"/>
      <c r="I72" s="85"/>
      <c r="J72" s="36">
        <f>sum(C72:I72)</f>
        <v>0</v>
      </c>
      <c r="K72" s="37">
        <f>($D$5/DAY(DATE(YEAR(TODAY()),MONTH(TODAY())+1,0)))*(7-COUNTBLANK(C71:I71))</f>
        <v>0</v>
      </c>
      <c r="L72" s="37">
        <f>iferror(J72-K72,0)</f>
        <v>0</v>
      </c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 ht="15.75" customHeight="1">
      <c r="B73" s="41" t="s">
        <v>7</v>
      </c>
      <c r="C73" s="48"/>
      <c r="D73" s="43"/>
      <c r="E73" s="43"/>
      <c r="F73" s="43"/>
      <c r="G73" s="43"/>
      <c r="H73" s="43"/>
      <c r="I73" s="45"/>
      <c r="J73" s="46" t="str">
        <f t="shared" ref="J73:J79" si="19">if(sum(C73:I73) =0,"-",sum(C73:I73))</f>
        <v>-</v>
      </c>
      <c r="K73" s="46">
        <f>($F$5/DAY(DATE(YEAR(TODAY()),MONTH(TODAY())+1,0)))*(7-COUNTBLANK(C71:I71))</f>
        <v>0</v>
      </c>
      <c r="L73" s="46" t="str">
        <f t="shared" ref="L73:L80" si="20">iferror(J73-K73,"-")</f>
        <v>-</v>
      </c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 ht="15.75" customHeight="1">
      <c r="B74" s="41" t="s">
        <v>8</v>
      </c>
      <c r="C74" s="48"/>
      <c r="D74" s="43"/>
      <c r="E74" s="43"/>
      <c r="F74" s="43"/>
      <c r="G74" s="43"/>
      <c r="H74" s="43"/>
      <c r="I74" s="45"/>
      <c r="J74" s="46" t="str">
        <f t="shared" si="19"/>
        <v>-</v>
      </c>
      <c r="K74" s="46">
        <f>($H$5/DAY(DATE(YEAR(TODAY()),MONTH(TODAY())+1,0)))*(7-COUNTBLANK(C71:I71))</f>
        <v>0</v>
      </c>
      <c r="L74" s="46" t="str">
        <f t="shared" si="20"/>
        <v>-</v>
      </c>
    </row>
    <row r="75" ht="15.75" customHeight="1">
      <c r="B75" s="51" t="s">
        <v>9</v>
      </c>
      <c r="C75" s="52"/>
      <c r="D75" s="53"/>
      <c r="E75" s="53"/>
      <c r="F75" s="53"/>
      <c r="G75" s="53"/>
      <c r="H75" s="53"/>
      <c r="I75" s="54"/>
      <c r="J75" s="46" t="str">
        <f t="shared" si="19"/>
        <v>-</v>
      </c>
      <c r="K75" s="55">
        <f>($J$5/DAY(DATE(YEAR(TODAY()),MONTH(TODAY())+1,0)))*(7-COUNTBLANK(C71:I71))</f>
        <v>0</v>
      </c>
      <c r="L75" s="46" t="str">
        <f t="shared" si="20"/>
        <v>-</v>
      </c>
    </row>
    <row r="76" ht="15.75" customHeight="1">
      <c r="B76" s="51" t="s">
        <v>10</v>
      </c>
      <c r="C76" s="52"/>
      <c r="D76" s="53"/>
      <c r="E76" s="53"/>
      <c r="F76" s="53"/>
      <c r="G76" s="53"/>
      <c r="H76" s="53"/>
      <c r="I76" s="54"/>
      <c r="J76" s="46" t="str">
        <f t="shared" si="19"/>
        <v>-</v>
      </c>
      <c r="K76" s="55">
        <f>($L$5/DAY(DATE(YEAR(TODAY()),MONTH(TODAY())+1,0)))*(7-COUNTBLANK(C71:I71))</f>
        <v>0</v>
      </c>
      <c r="L76" s="46" t="str">
        <f t="shared" si="20"/>
        <v>-</v>
      </c>
    </row>
    <row r="77" ht="15.75" customHeight="1">
      <c r="B77" s="41" t="s">
        <v>11</v>
      </c>
      <c r="C77" s="52"/>
      <c r="D77" s="53"/>
      <c r="E77" s="53"/>
      <c r="F77" s="53"/>
      <c r="G77" s="53"/>
      <c r="H77" s="53"/>
      <c r="I77" s="54"/>
      <c r="J77" s="46" t="str">
        <f t="shared" si="19"/>
        <v>-</v>
      </c>
      <c r="K77" s="55">
        <f>($N$5/DAY(DATE(YEAR(TODAY()),MONTH(TODAY())+1,0)))*(7-COUNTBLANK(C71:I71))</f>
        <v>0</v>
      </c>
      <c r="L77" s="46" t="str">
        <f t="shared" si="20"/>
        <v>-</v>
      </c>
    </row>
    <row r="78" ht="15.75" customHeight="1">
      <c r="B78" s="56" t="s">
        <v>12</v>
      </c>
      <c r="C78" s="52"/>
      <c r="D78" s="53"/>
      <c r="E78" s="53"/>
      <c r="F78" s="53"/>
      <c r="G78" s="53"/>
      <c r="H78" s="53"/>
      <c r="I78" s="54"/>
      <c r="J78" s="46" t="str">
        <f t="shared" si="19"/>
        <v>-</v>
      </c>
      <c r="K78" s="55">
        <f>($P$5/DAY(DATE(YEAR(TODAY()),MONTH(TODAY())+1,0)))*(7-COUNTBLANK(C71:I71))</f>
        <v>0</v>
      </c>
      <c r="L78" s="46" t="str">
        <f t="shared" si="20"/>
        <v>-</v>
      </c>
    </row>
    <row r="79" ht="15.75" customHeight="1">
      <c r="B79" s="56" t="s">
        <v>13</v>
      </c>
      <c r="C79" s="52"/>
      <c r="D79" s="53"/>
      <c r="E79" s="53"/>
      <c r="F79" s="53"/>
      <c r="G79" s="53"/>
      <c r="H79" s="53"/>
      <c r="I79" s="54"/>
      <c r="J79" s="46" t="str">
        <f t="shared" si="19"/>
        <v>-</v>
      </c>
      <c r="K79" s="55">
        <f>($R$5/DAY(DATE(YEAR(TODAY()),MONTH(TODAY())+1,0)))*(7-COUNTBLANK(C71:I71))</f>
        <v>0</v>
      </c>
      <c r="L79" s="46" t="str">
        <f t="shared" si="20"/>
        <v>-</v>
      </c>
    </row>
    <row r="80" ht="15.75" customHeight="1">
      <c r="B80" s="61" t="s">
        <v>14</v>
      </c>
      <c r="C80" s="86">
        <f t="shared" ref="C80:I80" si="21">sum(C73:C79)</f>
        <v>0</v>
      </c>
      <c r="D80" s="63">
        <f t="shared" si="21"/>
        <v>0</v>
      </c>
      <c r="E80" s="63">
        <f t="shared" si="21"/>
        <v>0</v>
      </c>
      <c r="F80" s="63">
        <f t="shared" si="21"/>
        <v>0</v>
      </c>
      <c r="G80" s="63">
        <f t="shared" si="21"/>
        <v>0</v>
      </c>
      <c r="H80" s="63">
        <f t="shared" si="21"/>
        <v>0</v>
      </c>
      <c r="I80" s="83">
        <f t="shared" si="21"/>
        <v>0</v>
      </c>
      <c r="J80" s="66">
        <f>sum(C80:I80)</f>
        <v>0</v>
      </c>
      <c r="K80" s="67">
        <f>sum(K73:K79)</f>
        <v>0</v>
      </c>
      <c r="L80" s="67">
        <f t="shared" si="20"/>
        <v>0</v>
      </c>
    </row>
    <row r="81" ht="15.75" customHeight="1">
      <c r="B81" s="68" t="s">
        <v>15</v>
      </c>
      <c r="C81" s="69">
        <f t="shared" ref="C81:K81" si="22">iferror(C72/C80,0)</f>
        <v>0</v>
      </c>
      <c r="D81" s="70">
        <f t="shared" si="22"/>
        <v>0</v>
      </c>
      <c r="E81" s="70">
        <f t="shared" si="22"/>
        <v>0</v>
      </c>
      <c r="F81" s="70">
        <f t="shared" si="22"/>
        <v>0</v>
      </c>
      <c r="G81" s="70">
        <f t="shared" si="22"/>
        <v>0</v>
      </c>
      <c r="H81" s="70">
        <f t="shared" si="22"/>
        <v>0</v>
      </c>
      <c r="I81" s="71">
        <f t="shared" si="22"/>
        <v>0</v>
      </c>
      <c r="J81" s="72">
        <f t="shared" si="22"/>
        <v>0</v>
      </c>
      <c r="K81" s="73">
        <f t="shared" si="22"/>
        <v>0</v>
      </c>
      <c r="L81" s="73">
        <f t="shared" ref="L81:L82" si="23">iferror(J81-K81,0)</f>
        <v>0</v>
      </c>
    </row>
    <row r="82" ht="15.75" customHeight="1">
      <c r="B82" s="74" t="s">
        <v>33</v>
      </c>
      <c r="C82" s="75"/>
      <c r="D82" s="76"/>
      <c r="E82" s="76"/>
      <c r="F82" s="76"/>
      <c r="G82" s="76"/>
      <c r="H82" s="76"/>
      <c r="I82" s="77"/>
      <c r="J82" s="78"/>
      <c r="K82" s="78"/>
      <c r="L82" s="78">
        <f t="shared" si="23"/>
        <v>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V2"/>
    <mergeCell ref="E4:G4"/>
    <mergeCell ref="J4:L4"/>
    <mergeCell ref="U4:V4"/>
  </mergeCells>
  <conditionalFormatting sqref="L11:L21 L26:L37 L42:L52 L57:L67 L72:L82">
    <cfRule type="cellIs" dxfId="0" priority="1" operator="greaterThan">
      <formula>0</formula>
    </cfRule>
  </conditionalFormatting>
  <conditionalFormatting sqref="L11:L21 L26:L37 L42:L52 L57:L67 L72:L82">
    <cfRule type="cellIs" dxfId="1" priority="2" operator="lessThan">
      <formula>0</formula>
    </cfRule>
  </conditionalFormatting>
  <conditionalFormatting sqref="D7 F7 H7 J7 L7 N7 P7 R7 T7 V7">
    <cfRule type="cellIs" dxfId="1" priority="3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87" t="s">
        <v>38</v>
      </c>
      <c r="C4" s="3"/>
      <c r="D4" s="4"/>
      <c r="E4" s="113" t="s">
        <v>77</v>
      </c>
      <c r="H4" s="4"/>
      <c r="I4" s="4" t="s">
        <v>2</v>
      </c>
      <c r="J4" s="4" t="s">
        <v>3</v>
      </c>
      <c r="M4" s="5"/>
      <c r="N4" s="5"/>
      <c r="O4" s="5"/>
      <c r="P4" s="5"/>
      <c r="Q4" s="5"/>
      <c r="R4" s="5"/>
      <c r="S4" s="5"/>
      <c r="T4" s="5"/>
      <c r="U4" s="5" t="s">
        <v>4</v>
      </c>
    </row>
    <row r="5" ht="15.75" customHeight="1">
      <c r="B5" s="6" t="s">
        <v>5</v>
      </c>
      <c r="C5" s="7" t="s">
        <v>6</v>
      </c>
      <c r="D5" s="114"/>
      <c r="E5" s="7" t="s">
        <v>7</v>
      </c>
      <c r="F5" s="10"/>
      <c r="G5" s="7" t="s">
        <v>8</v>
      </c>
      <c r="H5" s="10"/>
      <c r="I5" s="7" t="s">
        <v>9</v>
      </c>
      <c r="J5" s="10"/>
      <c r="K5" s="7" t="s">
        <v>10</v>
      </c>
      <c r="L5" s="10">
        <v>0.0</v>
      </c>
      <c r="M5" s="7" t="s">
        <v>11</v>
      </c>
      <c r="N5" s="10"/>
      <c r="O5" s="7" t="s">
        <v>12</v>
      </c>
      <c r="P5" s="10"/>
      <c r="Q5" s="7" t="s">
        <v>13</v>
      </c>
      <c r="R5" s="10"/>
      <c r="S5" s="7" t="s">
        <v>14</v>
      </c>
      <c r="T5" s="10">
        <f t="shared" ref="T5:T6" si="1">SUM(E5:R5)</f>
        <v>0</v>
      </c>
      <c r="U5" s="7" t="s">
        <v>15</v>
      </c>
      <c r="V5" s="11" t="str">
        <f>iferror(D5/T5,"-")</f>
        <v>-</v>
      </c>
    </row>
    <row r="6" ht="15.75" customHeight="1">
      <c r="B6" s="12" t="s">
        <v>16</v>
      </c>
      <c r="C6" s="13" t="s">
        <v>6</v>
      </c>
      <c r="D6" s="15"/>
      <c r="E6" s="13" t="s">
        <v>7</v>
      </c>
      <c r="F6" s="15">
        <f>IFERROR(__xludf.DUMMYFUNCTION("SUM(FILTER($J10:$J1025,$B10:$B1025=E6))"),0.0)</f>
        <v>0</v>
      </c>
      <c r="G6" s="13" t="s">
        <v>8</v>
      </c>
      <c r="H6" s="15">
        <f>IFERROR(__xludf.DUMMYFUNCTION("SUM(FILTER($J10:$J1025,$B10:$B1025=G6))"),0.0)</f>
        <v>0</v>
      </c>
      <c r="I6" s="13" t="s">
        <v>9</v>
      </c>
      <c r="J6" s="15">
        <f>IFERROR(__xludf.DUMMYFUNCTION("SUM(FILTER($J10:$J1025,$B10:$B1025=I6))"),0.0)</f>
        <v>0</v>
      </c>
      <c r="K6" s="13" t="s">
        <v>10</v>
      </c>
      <c r="L6" s="15">
        <f>IFERROR(__xludf.DUMMYFUNCTION("SUM(FILTER($J10:$J1025,$B10:$B1025=K6))"),0.0)</f>
        <v>0</v>
      </c>
      <c r="M6" s="13" t="s">
        <v>11</v>
      </c>
      <c r="N6" s="15">
        <f>IFERROR(__xludf.DUMMYFUNCTION("SUM(FILTER($J10:$J1025,$B10:$B1025=M6))"),0.0)</f>
        <v>0</v>
      </c>
      <c r="O6" s="13" t="s">
        <v>12</v>
      </c>
      <c r="P6" s="15">
        <f>IFERROR(__xludf.DUMMYFUNCTION("SUM(FILTER($J10:$J1025,$B10:$B1025=O6))"),0.0)</f>
        <v>0</v>
      </c>
      <c r="Q6" s="13" t="s">
        <v>13</v>
      </c>
      <c r="R6" s="15">
        <f>IFERROR(__xludf.DUMMYFUNCTION("SUM(FILTER($J10:$J1025,$B10:$B1025=Q6))"),0.0)</f>
        <v>0</v>
      </c>
      <c r="S6" s="13" t="s">
        <v>14</v>
      </c>
      <c r="T6" s="15">
        <f t="shared" si="1"/>
        <v>0</v>
      </c>
      <c r="U6" s="13" t="s">
        <v>15</v>
      </c>
      <c r="V6" s="16">
        <f>iferror(D6/T6,0)</f>
        <v>0</v>
      </c>
    </row>
    <row r="7" ht="15.75" customHeight="1">
      <c r="B7" s="17" t="s">
        <v>17</v>
      </c>
      <c r="C7" s="18" t="s">
        <v>6</v>
      </c>
      <c r="D7" s="19">
        <f>D6-D5</f>
        <v>0</v>
      </c>
      <c r="E7" s="18" t="s">
        <v>7</v>
      </c>
      <c r="F7" s="19">
        <f>F6-F5</f>
        <v>0</v>
      </c>
      <c r="G7" s="18" t="s">
        <v>8</v>
      </c>
      <c r="H7" s="19">
        <f>H6-H5</f>
        <v>0</v>
      </c>
      <c r="I7" s="18" t="s">
        <v>9</v>
      </c>
      <c r="J7" s="19">
        <f>J6-J5</f>
        <v>0</v>
      </c>
      <c r="K7" s="18" t="s">
        <v>10</v>
      </c>
      <c r="L7" s="19">
        <f>L6-L5</f>
        <v>0</v>
      </c>
      <c r="M7" s="18" t="s">
        <v>11</v>
      </c>
      <c r="N7" s="19">
        <f>N6-N5</f>
        <v>0</v>
      </c>
      <c r="O7" s="18" t="s">
        <v>12</v>
      </c>
      <c r="P7" s="19">
        <f>P6-P5</f>
        <v>0</v>
      </c>
      <c r="Q7" s="18" t="s">
        <v>13</v>
      </c>
      <c r="R7" s="19">
        <f>R6-R5</f>
        <v>0</v>
      </c>
      <c r="S7" s="18" t="s">
        <v>14</v>
      </c>
      <c r="T7" s="19">
        <f>T6-T5</f>
        <v>0</v>
      </c>
      <c r="U7" s="18" t="s">
        <v>15</v>
      </c>
      <c r="V7" s="20" t="str">
        <f>V6-V5</f>
        <v>#VALUE!</v>
      </c>
    </row>
    <row r="8" ht="17.25" customHeight="1"/>
    <row r="9" ht="15.75" customHeight="1">
      <c r="B9" s="21" t="s">
        <v>18</v>
      </c>
    </row>
    <row r="10" ht="15.75" customHeight="1">
      <c r="B10" s="22" t="s">
        <v>19</v>
      </c>
      <c r="C10" s="23"/>
      <c r="D10" s="24"/>
      <c r="E10" s="84"/>
      <c r="F10" s="84"/>
      <c r="G10" s="84"/>
      <c r="H10" s="24" t="s">
        <v>39</v>
      </c>
      <c r="I10" s="84"/>
      <c r="J10" s="25" t="s">
        <v>20</v>
      </c>
      <c r="K10" s="25" t="s">
        <v>21</v>
      </c>
      <c r="L10" s="25" t="s">
        <v>17</v>
      </c>
      <c r="N10" s="26" t="s">
        <v>22</v>
      </c>
      <c r="O10" s="27">
        <f>SUM(O11:O31)</f>
        <v>0</v>
      </c>
      <c r="Q10" s="28"/>
      <c r="R10" s="29"/>
      <c r="S10" s="30" t="s">
        <v>6</v>
      </c>
      <c r="T10" s="30" t="s">
        <v>12</v>
      </c>
      <c r="U10" s="30" t="s">
        <v>7</v>
      </c>
    </row>
    <row r="11" ht="15.75" customHeight="1">
      <c r="B11" s="31" t="s">
        <v>6</v>
      </c>
      <c r="C11" s="89"/>
      <c r="D11" s="33"/>
      <c r="E11" s="33"/>
      <c r="F11" s="33"/>
      <c r="G11" s="33"/>
      <c r="H11" s="33"/>
      <c r="I11" s="85"/>
      <c r="J11" s="36">
        <f>sum(C11:I11)</f>
        <v>0</v>
      </c>
      <c r="K11" s="37">
        <f>($D$5/DAY(DATE(YEAR(TODAY()),MONTH(TODAY())+1,0)))*(7-COUNTBLANK(C10:I10))</f>
        <v>0</v>
      </c>
      <c r="L11" s="37">
        <f>iferror(J11-K11,0)</f>
        <v>0</v>
      </c>
      <c r="N11" s="38"/>
      <c r="O11" s="39"/>
      <c r="Q11" s="28"/>
      <c r="R11" s="29" t="s">
        <v>23</v>
      </c>
      <c r="S11" s="40"/>
      <c r="T11" s="40"/>
      <c r="U11" s="40"/>
    </row>
    <row r="12" ht="15.75" customHeight="1">
      <c r="B12" s="41" t="s">
        <v>7</v>
      </c>
      <c r="C12" s="48"/>
      <c r="D12" s="43"/>
      <c r="E12" s="43"/>
      <c r="F12" s="43"/>
      <c r="G12" s="43"/>
      <c r="H12" s="43"/>
      <c r="I12" s="45"/>
      <c r="J12" s="46" t="str">
        <f t="shared" ref="J12:J18" si="2">if(sum(C12:I12) =0,"-",sum(C12:I12))</f>
        <v>-</v>
      </c>
      <c r="K12" s="46">
        <f>($F$5/DAY(DATE(YEAR(TODAY()),MONTH(TODAY())+1,0)))*(7-COUNTBLANK(C10:I10))</f>
        <v>0</v>
      </c>
      <c r="L12" s="46" t="str">
        <f t="shared" ref="L12:L19" si="3">iferror(J12-K12,"-")</f>
        <v>-</v>
      </c>
      <c r="N12" s="13"/>
      <c r="O12" s="47"/>
      <c r="R12" s="29" t="s">
        <v>24</v>
      </c>
      <c r="S12" s="40"/>
      <c r="T12" s="40"/>
      <c r="U12" s="40"/>
    </row>
    <row r="13" ht="15.75" customHeight="1">
      <c r="B13" s="41" t="s">
        <v>8</v>
      </c>
      <c r="C13" s="48"/>
      <c r="D13" s="43"/>
      <c r="E13" s="43"/>
      <c r="F13" s="43"/>
      <c r="G13" s="43"/>
      <c r="H13" s="43"/>
      <c r="I13" s="45"/>
      <c r="J13" s="46" t="str">
        <f t="shared" si="2"/>
        <v>-</v>
      </c>
      <c r="K13" s="46">
        <f>($H$5/DAY(DATE(YEAR(TODAY()),MONTH(TODAY())+1,0)))*(7-COUNTBLANK(C10:I10))</f>
        <v>0</v>
      </c>
      <c r="L13" s="46" t="str">
        <f t="shared" si="3"/>
        <v>-</v>
      </c>
      <c r="N13" s="49"/>
      <c r="O13" s="47"/>
      <c r="R13" s="50" t="s">
        <v>25</v>
      </c>
      <c r="S13" s="40"/>
      <c r="T13" s="40"/>
      <c r="U13" s="40"/>
    </row>
    <row r="14" ht="15.75" customHeight="1">
      <c r="B14" s="51" t="s">
        <v>9</v>
      </c>
      <c r="C14" s="52"/>
      <c r="D14" s="53"/>
      <c r="E14" s="53"/>
      <c r="F14" s="53"/>
      <c r="G14" s="53"/>
      <c r="H14" s="53"/>
      <c r="I14" s="54"/>
      <c r="J14" s="46" t="str">
        <f t="shared" si="2"/>
        <v>-</v>
      </c>
      <c r="K14" s="55">
        <f>($J$5/DAY(DATE(YEAR(TODAY()),MONTH(TODAY())+1,0)))*(7-COUNTBLANK(C10:I10))</f>
        <v>0</v>
      </c>
      <c r="L14" s="46" t="str">
        <f t="shared" si="3"/>
        <v>-</v>
      </c>
      <c r="N14" s="13"/>
      <c r="O14" s="47"/>
      <c r="R14" s="50"/>
      <c r="S14" s="50"/>
      <c r="T14" s="50"/>
      <c r="U14" s="50"/>
    </row>
    <row r="15" ht="15.75" customHeight="1">
      <c r="B15" s="51" t="s">
        <v>10</v>
      </c>
      <c r="C15" s="52"/>
      <c r="D15" s="53"/>
      <c r="E15" s="53"/>
      <c r="F15" s="53"/>
      <c r="G15" s="53"/>
      <c r="H15" s="53"/>
      <c r="I15" s="54"/>
      <c r="J15" s="46" t="str">
        <f t="shared" si="2"/>
        <v>-</v>
      </c>
      <c r="K15" s="55">
        <f>($L$5/DAY(DATE(YEAR(TODAY()),MONTH(TODAY())+1,0)))*(7-COUNTBLANK(C10:I10))</f>
        <v>0</v>
      </c>
      <c r="L15" s="46" t="str">
        <f t="shared" si="3"/>
        <v>-</v>
      </c>
      <c r="N15" s="49"/>
      <c r="O15" s="47"/>
      <c r="R15" s="50" t="s">
        <v>26</v>
      </c>
      <c r="S15" s="40" t="str">
        <f>AVERAGE(S11:S13)</f>
        <v>#DIV/0!</v>
      </c>
      <c r="T15" s="50"/>
      <c r="U15" s="50"/>
    </row>
    <row r="16" ht="15.75" customHeight="1">
      <c r="B16" s="41" t="s">
        <v>11</v>
      </c>
      <c r="C16" s="52"/>
      <c r="D16" s="53"/>
      <c r="E16" s="53"/>
      <c r="F16" s="53"/>
      <c r="G16" s="53"/>
      <c r="H16" s="53"/>
      <c r="I16" s="54"/>
      <c r="J16" s="46" t="str">
        <f t="shared" si="2"/>
        <v>-</v>
      </c>
      <c r="K16" s="55">
        <f>($N$5/DAY(DATE(YEAR(TODAY()),MONTH(TODAY())+1,0)))*(7-COUNTBLANK(C10:I10))</f>
        <v>0</v>
      </c>
      <c r="L16" s="46" t="str">
        <f t="shared" si="3"/>
        <v>-</v>
      </c>
      <c r="N16" s="49"/>
      <c r="O16" s="47"/>
      <c r="R16" s="50" t="s">
        <v>27</v>
      </c>
      <c r="S16" s="40" t="str">
        <f>AVERAGE(T11:T13)</f>
        <v>#DIV/0!</v>
      </c>
      <c r="T16" s="50"/>
      <c r="U16" s="50"/>
    </row>
    <row r="17" ht="15.75" customHeight="1">
      <c r="B17" s="56" t="s">
        <v>12</v>
      </c>
      <c r="C17" s="52"/>
      <c r="D17" s="53"/>
      <c r="E17" s="53"/>
      <c r="F17" s="53"/>
      <c r="G17" s="53"/>
      <c r="H17" s="53"/>
      <c r="I17" s="54"/>
      <c r="J17" s="46" t="str">
        <f t="shared" si="2"/>
        <v>-</v>
      </c>
      <c r="K17" s="55">
        <f>($P$5/DAY(DATE(YEAR(TODAY()),MONTH(TODAY())+1,0)))*(7-COUNTBLANK(C10:I10))</f>
        <v>0</v>
      </c>
      <c r="L17" s="46" t="str">
        <f t="shared" si="3"/>
        <v>-</v>
      </c>
      <c r="N17" s="49"/>
      <c r="O17" s="47"/>
      <c r="R17" s="50"/>
      <c r="S17" s="50"/>
      <c r="T17" s="50"/>
      <c r="U17" s="50"/>
    </row>
    <row r="18" ht="15.75" customHeight="1">
      <c r="B18" s="56" t="s">
        <v>13</v>
      </c>
      <c r="C18" s="52"/>
      <c r="D18" s="53"/>
      <c r="E18" s="53"/>
      <c r="F18" s="53"/>
      <c r="G18" s="53"/>
      <c r="H18" s="53"/>
      <c r="I18" s="54"/>
      <c r="J18" s="46" t="str">
        <f t="shared" si="2"/>
        <v>-</v>
      </c>
      <c r="K18" s="55">
        <f>($R$5/DAY(DATE(YEAR(TODAY()),MONTH(TODAY())+1,0)))*(7-COUNTBLANK(C10:I10))</f>
        <v>0</v>
      </c>
      <c r="L18" s="46" t="str">
        <f t="shared" si="3"/>
        <v>-</v>
      </c>
      <c r="N18" s="49"/>
      <c r="O18" s="47"/>
      <c r="R18" s="50" t="s">
        <v>28</v>
      </c>
      <c r="S18" s="60" t="str">
        <f>(P6+R6)/U11</f>
        <v>#DIV/0!</v>
      </c>
      <c r="T18" s="50"/>
      <c r="U18" s="50" t="s">
        <v>29</v>
      </c>
    </row>
    <row r="19" ht="15.75" customHeight="1">
      <c r="B19" s="61" t="s">
        <v>14</v>
      </c>
      <c r="C19" s="86"/>
      <c r="D19" s="63"/>
      <c r="E19" s="63"/>
      <c r="F19" s="63"/>
      <c r="G19" s="63"/>
      <c r="H19" s="63"/>
      <c r="I19" s="83"/>
      <c r="J19" s="66">
        <f>sum(C19:I19)</f>
        <v>0</v>
      </c>
      <c r="K19" s="67">
        <f>sum(K12:K18)</f>
        <v>0</v>
      </c>
      <c r="L19" s="67">
        <f t="shared" si="3"/>
        <v>0</v>
      </c>
      <c r="N19" s="49"/>
      <c r="O19" s="47"/>
      <c r="R19" s="50" t="s">
        <v>30</v>
      </c>
      <c r="S19" s="60" t="str">
        <f>D6/D5</f>
        <v>#DIV/0!</v>
      </c>
      <c r="T19" s="50"/>
      <c r="U19" s="50"/>
    </row>
    <row r="20" ht="15.75" customHeight="1">
      <c r="B20" s="68" t="s">
        <v>15</v>
      </c>
      <c r="C20" s="69"/>
      <c r="D20" s="70"/>
      <c r="E20" s="70"/>
      <c r="F20" s="70"/>
      <c r="G20" s="70"/>
      <c r="H20" s="70"/>
      <c r="I20" s="71"/>
      <c r="J20" s="72">
        <f t="shared" ref="J20:K20" si="4">iferror(J11/J19,0)</f>
        <v>0</v>
      </c>
      <c r="K20" s="73">
        <f t="shared" si="4"/>
        <v>0</v>
      </c>
      <c r="L20" s="73">
        <f t="shared" ref="L20:L21" si="5">iferror(J20-K20,0)</f>
        <v>0</v>
      </c>
      <c r="N20" s="13"/>
      <c r="O20" s="47"/>
      <c r="R20" s="50" t="s">
        <v>31</v>
      </c>
      <c r="S20" s="60" t="str">
        <f>((D6/S11)-1)</f>
        <v>#DIV/0!</v>
      </c>
      <c r="T20" s="50"/>
      <c r="U20" s="50" t="s">
        <v>32</v>
      </c>
    </row>
    <row r="21" ht="15.75" customHeight="1">
      <c r="B21" s="74" t="s">
        <v>33</v>
      </c>
      <c r="C21" s="75"/>
      <c r="D21" s="76"/>
      <c r="E21" s="76"/>
      <c r="F21" s="76"/>
      <c r="G21" s="76"/>
      <c r="H21" s="76"/>
      <c r="I21" s="77"/>
      <c r="J21" s="78"/>
      <c r="K21" s="78"/>
      <c r="L21" s="78">
        <f t="shared" si="5"/>
        <v>0</v>
      </c>
      <c r="M21" s="79"/>
      <c r="N21" s="49"/>
      <c r="O21" s="47"/>
      <c r="P21" s="79"/>
      <c r="Q21" s="79"/>
      <c r="R21" s="79"/>
      <c r="S21" s="79"/>
      <c r="T21" s="79"/>
      <c r="U21" s="79"/>
      <c r="V21" s="79"/>
    </row>
    <row r="22" ht="18.0" customHeight="1">
      <c r="B22" s="79"/>
      <c r="J22" s="79"/>
      <c r="K22" s="79"/>
      <c r="L22" s="79"/>
      <c r="M22" s="79"/>
      <c r="N22" s="49"/>
      <c r="O22" s="47"/>
      <c r="P22" s="79"/>
      <c r="Q22" s="79"/>
      <c r="R22" s="79"/>
      <c r="T22" s="79"/>
      <c r="U22" s="79"/>
      <c r="V22" s="79"/>
    </row>
    <row r="23" ht="15.75" customHeight="1">
      <c r="B23" s="21" t="s">
        <v>34</v>
      </c>
      <c r="J23" s="79"/>
      <c r="K23" s="79"/>
      <c r="L23" s="79"/>
      <c r="N23" s="49"/>
      <c r="O23" s="47"/>
    </row>
    <row r="24" ht="15.75" customHeight="1">
      <c r="B24" s="21"/>
      <c r="J24" s="79"/>
      <c r="K24" s="79"/>
      <c r="L24" s="79"/>
      <c r="N24" s="49"/>
      <c r="O24" s="47"/>
    </row>
    <row r="25" ht="15.75" customHeight="1">
      <c r="B25" s="22" t="s">
        <v>19</v>
      </c>
      <c r="C25" s="111"/>
      <c r="D25" s="84"/>
      <c r="E25" s="84"/>
      <c r="F25" s="84"/>
      <c r="G25" s="84"/>
      <c r="H25" s="84"/>
      <c r="I25" s="84"/>
      <c r="J25" s="25" t="s">
        <v>20</v>
      </c>
      <c r="K25" s="25" t="s">
        <v>21</v>
      </c>
      <c r="L25" s="25" t="s">
        <v>17</v>
      </c>
      <c r="N25" s="50"/>
      <c r="O25" s="50"/>
    </row>
    <row r="26" ht="15.75" customHeight="1">
      <c r="B26" s="31" t="s">
        <v>6</v>
      </c>
      <c r="C26" s="89"/>
      <c r="D26" s="33"/>
      <c r="E26" s="33"/>
      <c r="F26" s="33"/>
      <c r="G26" s="33"/>
      <c r="H26" s="33"/>
      <c r="I26" s="85"/>
      <c r="J26" s="36">
        <f>sum(C26:I26)</f>
        <v>0</v>
      </c>
      <c r="K26" s="37">
        <f>($D$5/DAY(DATE(YEAR(TODAY()),MONTH(TODAY())+1,0)))*(7-COUNTBLANK(C25:I25))</f>
        <v>0</v>
      </c>
      <c r="L26" s="37">
        <f>iferror(J26-K26,0)</f>
        <v>0</v>
      </c>
      <c r="N26" s="50"/>
      <c r="O26" s="50"/>
    </row>
    <row r="27" ht="15.75" customHeight="1">
      <c r="B27" s="41" t="s">
        <v>7</v>
      </c>
      <c r="C27" s="48"/>
      <c r="D27" s="43"/>
      <c r="E27" s="43"/>
      <c r="F27" s="43"/>
      <c r="G27" s="43"/>
      <c r="H27" s="43"/>
      <c r="I27" s="45"/>
      <c r="J27" s="46" t="str">
        <f t="shared" ref="J27:J30" si="6">if(sum(C27:I27) =0,"-",sum(C27:I27))</f>
        <v>-</v>
      </c>
      <c r="K27" s="46">
        <f>($F$5/DAY(DATE(YEAR(TODAY()),MONTH(TODAY())+1,0)))*(7-COUNTBLANK(C25:I25))</f>
        <v>0</v>
      </c>
      <c r="L27" s="46" t="str">
        <f t="shared" ref="L27:L30" si="7">iferror(J27-K27,"-")</f>
        <v>-</v>
      </c>
      <c r="N27" s="50"/>
      <c r="O27" s="50"/>
    </row>
    <row r="28" ht="15.75" customHeight="1">
      <c r="B28" s="41" t="s">
        <v>8</v>
      </c>
      <c r="C28" s="48"/>
      <c r="D28" s="43"/>
      <c r="E28" s="43"/>
      <c r="F28" s="43"/>
      <c r="G28" s="43"/>
      <c r="H28" s="43"/>
      <c r="I28" s="45"/>
      <c r="J28" s="46" t="str">
        <f t="shared" si="6"/>
        <v>-</v>
      </c>
      <c r="K28" s="46">
        <f>($H$5/DAY(DATE(YEAR(TODAY()),MONTH(TODAY())+1,0)))*(7-COUNTBLANK(C25:I25))</f>
        <v>0</v>
      </c>
      <c r="L28" s="46" t="str">
        <f t="shared" si="7"/>
        <v>-</v>
      </c>
      <c r="N28" s="50"/>
      <c r="O28" s="50"/>
    </row>
    <row r="29" ht="15.75" customHeight="1">
      <c r="B29" s="51" t="s">
        <v>9</v>
      </c>
      <c r="C29" s="52"/>
      <c r="D29" s="53"/>
      <c r="E29" s="53"/>
      <c r="F29" s="53"/>
      <c r="G29" s="53"/>
      <c r="H29" s="53"/>
      <c r="I29" s="54"/>
      <c r="J29" s="46" t="str">
        <f t="shared" si="6"/>
        <v>-</v>
      </c>
      <c r="K29" s="55">
        <f>($J$5/DAY(DATE(YEAR(TODAY()),MONTH(TODAY())+1,0)))*(7-COUNTBLANK(C25:I25))</f>
        <v>0</v>
      </c>
      <c r="L29" s="46" t="str">
        <f t="shared" si="7"/>
        <v>-</v>
      </c>
      <c r="N29" s="50"/>
      <c r="O29" s="50"/>
      <c r="R29" s="82"/>
    </row>
    <row r="30" ht="15.75" customHeight="1">
      <c r="B30" s="51" t="s">
        <v>10</v>
      </c>
      <c r="C30" s="52"/>
      <c r="D30" s="53"/>
      <c r="E30" s="53"/>
      <c r="F30" s="53"/>
      <c r="G30" s="53"/>
      <c r="H30" s="53"/>
      <c r="I30" s="54"/>
      <c r="J30" s="46" t="str">
        <f t="shared" si="6"/>
        <v>-</v>
      </c>
      <c r="K30" s="55">
        <f>($L$5/DAY(DATE(YEAR(TODAY()),MONTH(TODAY())+1,0)))*(7-COUNTBLANK(C25:I25))</f>
        <v>0</v>
      </c>
      <c r="L30" s="46" t="str">
        <f t="shared" si="7"/>
        <v>-</v>
      </c>
      <c r="N30" s="50"/>
      <c r="O30" s="50"/>
    </row>
    <row r="31" ht="15.75" customHeight="1">
      <c r="B31" s="51"/>
      <c r="C31" s="52"/>
      <c r="D31" s="53"/>
      <c r="E31" s="53"/>
      <c r="F31" s="53"/>
      <c r="G31" s="53"/>
      <c r="H31" s="53"/>
      <c r="I31" s="54"/>
      <c r="J31" s="46"/>
      <c r="K31" s="55"/>
      <c r="L31" s="46"/>
      <c r="N31" s="50"/>
      <c r="O31" s="50"/>
    </row>
    <row r="32" ht="15.75" customHeight="1">
      <c r="B32" s="41" t="s">
        <v>11</v>
      </c>
      <c r="C32" s="52"/>
      <c r="D32" s="53"/>
      <c r="E32" s="53"/>
      <c r="F32" s="53"/>
      <c r="G32" s="53"/>
      <c r="H32" s="53"/>
      <c r="I32" s="54"/>
      <c r="J32" s="46" t="str">
        <f t="shared" ref="J32:J34" si="8">if(sum(C32:I32) =0,"-",sum(C32:I32))</f>
        <v>-</v>
      </c>
      <c r="K32" s="55">
        <f>($N$5/DAY(DATE(YEAR(TODAY()),MONTH(TODAY())+1,0)))*(7-COUNTBLANK(C25:I25))</f>
        <v>0</v>
      </c>
      <c r="L32" s="46" t="str">
        <f t="shared" ref="L32:L35" si="9">iferror(J32-K32,"-")</f>
        <v>-</v>
      </c>
    </row>
    <row r="33" ht="15.75" customHeight="1">
      <c r="B33" s="56" t="s">
        <v>12</v>
      </c>
      <c r="C33" s="52"/>
      <c r="D33" s="53"/>
      <c r="E33" s="53"/>
      <c r="F33" s="53"/>
      <c r="G33" s="53"/>
      <c r="H33" s="53"/>
      <c r="I33" s="54"/>
      <c r="J33" s="46" t="str">
        <f t="shared" si="8"/>
        <v>-</v>
      </c>
      <c r="K33" s="55">
        <f>($P$5/DAY(DATE(YEAR(TODAY()),MONTH(TODAY())+1,0)))*(7-COUNTBLANK(C25:I25))</f>
        <v>0</v>
      </c>
      <c r="L33" s="46" t="str">
        <f t="shared" si="9"/>
        <v>-</v>
      </c>
      <c r="M33" s="79"/>
      <c r="N33" s="79"/>
      <c r="O33" s="79"/>
      <c r="P33" s="79"/>
      <c r="Q33" s="79"/>
      <c r="R33" s="79"/>
      <c r="S33" s="79"/>
      <c r="T33" s="79"/>
      <c r="U33" s="79"/>
      <c r="V33" s="79"/>
    </row>
    <row r="34" ht="18.75" customHeight="1">
      <c r="B34" s="56" t="s">
        <v>13</v>
      </c>
      <c r="C34" s="52"/>
      <c r="D34" s="53"/>
      <c r="E34" s="53"/>
      <c r="F34" s="53"/>
      <c r="G34" s="53"/>
      <c r="H34" s="53"/>
      <c r="I34" s="54"/>
      <c r="J34" s="46" t="str">
        <f t="shared" si="8"/>
        <v>-</v>
      </c>
      <c r="K34" s="55">
        <f>($R$5/DAY(DATE(YEAR(TODAY()),MONTH(TODAY())+1,0)))*(7-COUNTBLANK(C25:I25))</f>
        <v>0</v>
      </c>
      <c r="L34" s="46" t="str">
        <f t="shared" si="9"/>
        <v>-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 ht="18.75" customHeight="1">
      <c r="B35" s="61" t="s">
        <v>14</v>
      </c>
      <c r="C35" s="86"/>
      <c r="D35" s="63"/>
      <c r="E35" s="63"/>
      <c r="F35" s="63"/>
      <c r="G35" s="63"/>
      <c r="H35" s="63"/>
      <c r="I35" s="83"/>
      <c r="J35" s="66">
        <f>sum(C35:I35)</f>
        <v>0</v>
      </c>
      <c r="K35" s="67">
        <f>sum(K27:K34)</f>
        <v>0</v>
      </c>
      <c r="L35" s="67">
        <f t="shared" si="9"/>
        <v>0</v>
      </c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 ht="18.75" customHeight="1">
      <c r="B36" s="68" t="s">
        <v>15</v>
      </c>
      <c r="C36" s="69"/>
      <c r="D36" s="70"/>
      <c r="E36" s="70"/>
      <c r="F36" s="70"/>
      <c r="G36" s="70"/>
      <c r="H36" s="70"/>
      <c r="I36" s="71"/>
      <c r="J36" s="72">
        <f t="shared" ref="J36:K36" si="10">iferror(J26/J35,0)</f>
        <v>0</v>
      </c>
      <c r="K36" s="73">
        <f t="shared" si="10"/>
        <v>0</v>
      </c>
      <c r="L36" s="73">
        <f t="shared" ref="L36:L37" si="11">iferror(J36-K36,0)</f>
        <v>0</v>
      </c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 ht="18.75" customHeight="1">
      <c r="B37" s="74" t="s">
        <v>33</v>
      </c>
      <c r="C37" s="75"/>
      <c r="D37" s="76"/>
      <c r="E37" s="76"/>
      <c r="F37" s="76"/>
      <c r="G37" s="76"/>
      <c r="H37" s="76"/>
      <c r="I37" s="77"/>
      <c r="J37" s="78"/>
      <c r="K37" s="78"/>
      <c r="L37" s="78">
        <f t="shared" si="11"/>
        <v>0</v>
      </c>
      <c r="M37" s="79"/>
      <c r="N37" s="79"/>
      <c r="O37" s="79"/>
      <c r="P37" s="79"/>
      <c r="Q37" s="79"/>
      <c r="R37" s="79"/>
      <c r="S37" s="79"/>
      <c r="T37" s="79"/>
      <c r="U37" s="79"/>
      <c r="V37" s="79"/>
    </row>
    <row r="38" ht="18.75" customHeight="1">
      <c r="B38" s="21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 ht="18.75" customHeight="1">
      <c r="B39" s="21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0" ht="15.75" customHeight="1">
      <c r="B40" s="21" t="s">
        <v>35</v>
      </c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 ht="15.75" customHeight="1">
      <c r="B41" s="22" t="s">
        <v>19</v>
      </c>
      <c r="C41" s="111"/>
      <c r="D41" s="84"/>
      <c r="E41" s="84"/>
      <c r="F41" s="84"/>
      <c r="G41" s="84"/>
      <c r="H41" s="84"/>
      <c r="I41" s="84"/>
      <c r="J41" s="25" t="s">
        <v>20</v>
      </c>
      <c r="K41" s="25" t="s">
        <v>21</v>
      </c>
      <c r="L41" s="25" t="s">
        <v>17</v>
      </c>
    </row>
    <row r="42" ht="15.75" customHeight="1">
      <c r="B42" s="31" t="s">
        <v>6</v>
      </c>
      <c r="C42" s="89"/>
      <c r="D42" s="33"/>
      <c r="E42" s="33"/>
      <c r="F42" s="33"/>
      <c r="G42" s="33"/>
      <c r="H42" s="33"/>
      <c r="I42" s="85"/>
      <c r="J42" s="36">
        <f>sum(C42:I42)</f>
        <v>0</v>
      </c>
      <c r="K42" s="37">
        <f>($D$5/DAY(DATE(YEAR(TODAY()),MONTH(TODAY())+1,0)))*(7-COUNTBLANK(C41:I41))</f>
        <v>0</v>
      </c>
      <c r="L42" s="37">
        <f>iferror(J42-K42,0)</f>
        <v>0</v>
      </c>
    </row>
    <row r="43" ht="15.75" customHeight="1">
      <c r="B43" s="41" t="s">
        <v>7</v>
      </c>
      <c r="C43" s="48"/>
      <c r="D43" s="43"/>
      <c r="E43" s="43"/>
      <c r="F43" s="43"/>
      <c r="G43" s="43"/>
      <c r="H43" s="43"/>
      <c r="I43" s="45"/>
      <c r="J43" s="46" t="str">
        <f t="shared" ref="J43:J49" si="12">if(sum(C43:I43) =0,"-",sum(C43:I43))</f>
        <v>-</v>
      </c>
      <c r="K43" s="46">
        <f>($F$5/DAY(DATE(YEAR(TODAY()),MONTH(TODAY())+1,0)))*(7-COUNTBLANK(C41:I41))</f>
        <v>0</v>
      </c>
      <c r="L43" s="46" t="str">
        <f t="shared" ref="L43:L50" si="13">iferror(J43-K43,"-")</f>
        <v>-</v>
      </c>
    </row>
    <row r="44" ht="15.75" customHeight="1">
      <c r="B44" s="41" t="s">
        <v>8</v>
      </c>
      <c r="C44" s="48"/>
      <c r="D44" s="43"/>
      <c r="E44" s="43"/>
      <c r="F44" s="43"/>
      <c r="G44" s="43"/>
      <c r="H44" s="43"/>
      <c r="I44" s="45"/>
      <c r="J44" s="46" t="str">
        <f t="shared" si="12"/>
        <v>-</v>
      </c>
      <c r="K44" s="46">
        <f>($H$5/DAY(DATE(YEAR(TODAY()),MONTH(TODAY())+1,0)))*(7-COUNTBLANK(C41:I41))</f>
        <v>0</v>
      </c>
      <c r="L44" s="46" t="str">
        <f t="shared" si="13"/>
        <v>-</v>
      </c>
    </row>
    <row r="45" ht="15.75" customHeight="1">
      <c r="B45" s="51" t="s">
        <v>9</v>
      </c>
      <c r="C45" s="52"/>
      <c r="D45" s="53"/>
      <c r="E45" s="53"/>
      <c r="F45" s="53"/>
      <c r="G45" s="53"/>
      <c r="H45" s="53"/>
      <c r="I45" s="54"/>
      <c r="J45" s="46" t="str">
        <f t="shared" si="12"/>
        <v>-</v>
      </c>
      <c r="K45" s="55">
        <f>($J$5/DAY(DATE(YEAR(TODAY()),MONTH(TODAY())+1,0)))*(7-COUNTBLANK(C41:I41))</f>
        <v>0</v>
      </c>
      <c r="L45" s="46" t="str">
        <f t="shared" si="13"/>
        <v>-</v>
      </c>
    </row>
    <row r="46" ht="15.75" customHeight="1">
      <c r="B46" s="51" t="s">
        <v>10</v>
      </c>
      <c r="C46" s="52"/>
      <c r="D46" s="53"/>
      <c r="E46" s="53"/>
      <c r="F46" s="53"/>
      <c r="G46" s="53"/>
      <c r="H46" s="53"/>
      <c r="I46" s="54"/>
      <c r="J46" s="46" t="str">
        <f t="shared" si="12"/>
        <v>-</v>
      </c>
      <c r="K46" s="55">
        <f>($L$5/DAY(DATE(YEAR(TODAY()),MONTH(TODAY())+1,0)))*(7-COUNTBLANK(C41:I41))</f>
        <v>0</v>
      </c>
      <c r="L46" s="46" t="str">
        <f t="shared" si="13"/>
        <v>-</v>
      </c>
    </row>
    <row r="47" ht="15.75" customHeight="1">
      <c r="B47" s="41" t="s">
        <v>11</v>
      </c>
      <c r="C47" s="52"/>
      <c r="D47" s="53"/>
      <c r="E47" s="53"/>
      <c r="F47" s="53"/>
      <c r="G47" s="53"/>
      <c r="H47" s="53"/>
      <c r="I47" s="54"/>
      <c r="J47" s="46" t="str">
        <f t="shared" si="12"/>
        <v>-</v>
      </c>
      <c r="K47" s="55">
        <f>($N$5/DAY(DATE(YEAR(TODAY()),MONTH(TODAY())+1,0)))*(7-COUNTBLANK(C41:I41))</f>
        <v>0</v>
      </c>
      <c r="L47" s="46" t="str">
        <f t="shared" si="13"/>
        <v>-</v>
      </c>
    </row>
    <row r="48" ht="15.75" customHeight="1">
      <c r="B48" s="56" t="s">
        <v>12</v>
      </c>
      <c r="C48" s="52"/>
      <c r="D48" s="53"/>
      <c r="E48" s="53"/>
      <c r="F48" s="53"/>
      <c r="G48" s="53"/>
      <c r="H48" s="53"/>
      <c r="I48" s="54"/>
      <c r="J48" s="46" t="str">
        <f t="shared" si="12"/>
        <v>-</v>
      </c>
      <c r="K48" s="55">
        <f>($P$5/DAY(DATE(YEAR(TODAY()),MONTH(TODAY())+1,0)))*(7-COUNTBLANK(C41:I41))</f>
        <v>0</v>
      </c>
      <c r="L48" s="46" t="str">
        <f t="shared" si="13"/>
        <v>-</v>
      </c>
    </row>
    <row r="49" ht="15.75" customHeight="1">
      <c r="B49" s="56" t="s">
        <v>13</v>
      </c>
      <c r="C49" s="52"/>
      <c r="D49" s="53"/>
      <c r="E49" s="53"/>
      <c r="F49" s="53"/>
      <c r="G49" s="53"/>
      <c r="H49" s="53"/>
      <c r="I49" s="54"/>
      <c r="J49" s="46" t="str">
        <f t="shared" si="12"/>
        <v>-</v>
      </c>
      <c r="K49" s="55">
        <f>($R$5/DAY(DATE(YEAR(TODAY()),MONTH(TODAY())+1,0)))*(7-COUNTBLANK(C41:I41))</f>
        <v>0</v>
      </c>
      <c r="L49" s="46" t="str">
        <f t="shared" si="13"/>
        <v>-</v>
      </c>
    </row>
    <row r="50" ht="15.75" customHeight="1">
      <c r="B50" s="61" t="s">
        <v>14</v>
      </c>
      <c r="C50" s="86"/>
      <c r="D50" s="63"/>
      <c r="E50" s="63"/>
      <c r="F50" s="63"/>
      <c r="G50" s="63"/>
      <c r="H50" s="63"/>
      <c r="I50" s="83"/>
      <c r="J50" s="66">
        <f>sum(C50:I50)</f>
        <v>0</v>
      </c>
      <c r="K50" s="67">
        <f>sum(K43:K49)</f>
        <v>0</v>
      </c>
      <c r="L50" s="67">
        <f t="shared" si="13"/>
        <v>0</v>
      </c>
    </row>
    <row r="51" ht="15.75" customHeight="1">
      <c r="B51" s="68" t="s">
        <v>15</v>
      </c>
      <c r="C51" s="69"/>
      <c r="D51" s="70"/>
      <c r="E51" s="70"/>
      <c r="F51" s="70"/>
      <c r="G51" s="70"/>
      <c r="H51" s="70"/>
      <c r="I51" s="71"/>
      <c r="J51" s="72">
        <f t="shared" ref="J51:K51" si="14">iferror(J42/J50,0)</f>
        <v>0</v>
      </c>
      <c r="K51" s="73">
        <f t="shared" si="14"/>
        <v>0</v>
      </c>
      <c r="L51" s="73">
        <f t="shared" ref="L51:L52" si="15">iferror(J51-K51,0)</f>
        <v>0</v>
      </c>
    </row>
    <row r="52" ht="15.75" customHeight="1">
      <c r="B52" s="74" t="s">
        <v>33</v>
      </c>
      <c r="C52" s="75"/>
      <c r="D52" s="76"/>
      <c r="E52" s="76"/>
      <c r="F52" s="76"/>
      <c r="G52" s="76"/>
      <c r="H52" s="76"/>
      <c r="I52" s="77"/>
      <c r="J52" s="78"/>
      <c r="K52" s="78"/>
      <c r="L52" s="78">
        <f t="shared" si="15"/>
        <v>0</v>
      </c>
    </row>
    <row r="53" ht="15.75" customHeight="1"/>
    <row r="54" ht="15.75" customHeight="1"/>
    <row r="55" ht="15.75" customHeight="1">
      <c r="B55" s="21" t="s">
        <v>36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 ht="15.75" customHeight="1">
      <c r="B56" s="22" t="s">
        <v>19</v>
      </c>
      <c r="C56" s="111"/>
      <c r="D56" s="84"/>
      <c r="E56" s="84"/>
      <c r="F56" s="84"/>
      <c r="G56" s="84"/>
      <c r="H56" s="84"/>
      <c r="I56" s="84"/>
      <c r="J56" s="25" t="s">
        <v>20</v>
      </c>
      <c r="K56" s="25" t="s">
        <v>21</v>
      </c>
      <c r="L56" s="25" t="s">
        <v>17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 ht="15.75" customHeight="1">
      <c r="B57" s="31" t="s">
        <v>6</v>
      </c>
      <c r="C57" s="89"/>
      <c r="D57" s="33"/>
      <c r="E57" s="33"/>
      <c r="F57" s="33"/>
      <c r="G57" s="33"/>
      <c r="H57" s="33"/>
      <c r="I57" s="85"/>
      <c r="J57" s="36">
        <f>sum(C57:I57)</f>
        <v>0</v>
      </c>
      <c r="K57" s="37">
        <f>($D$5/DAY(DATE(YEAR(TODAY()),MONTH(TODAY())+1,0)))*(7-COUNTBLANK(C56:I56))</f>
        <v>0</v>
      </c>
      <c r="L57" s="37">
        <f>iferror(J57-K57,0)</f>
        <v>0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 ht="15.75" customHeight="1">
      <c r="B58" s="41" t="s">
        <v>7</v>
      </c>
      <c r="C58" s="48"/>
      <c r="D58" s="43"/>
      <c r="E58" s="43"/>
      <c r="F58" s="43"/>
      <c r="G58" s="43"/>
      <c r="H58" s="43"/>
      <c r="I58" s="45"/>
      <c r="J58" s="46" t="str">
        <f t="shared" ref="J58:J64" si="16">if(sum(C58:I58) =0,"-",sum(C58:I58))</f>
        <v>-</v>
      </c>
      <c r="K58" s="46">
        <f>($F$5/DAY(DATE(YEAR(TODAY()),MONTH(TODAY())+1,0)))*(7-COUNTBLANK(C56:I56))</f>
        <v>0</v>
      </c>
      <c r="L58" s="46" t="str">
        <f t="shared" ref="L58:L65" si="17">iferror(J58-K58,"-")</f>
        <v>-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 ht="15.75" customHeight="1">
      <c r="B59" s="41" t="s">
        <v>8</v>
      </c>
      <c r="C59" s="48"/>
      <c r="D59" s="43"/>
      <c r="E59" s="43"/>
      <c r="F59" s="43"/>
      <c r="G59" s="43"/>
      <c r="H59" s="43"/>
      <c r="I59" s="45"/>
      <c r="J59" s="46" t="str">
        <f t="shared" si="16"/>
        <v>-</v>
      </c>
      <c r="K59" s="46">
        <f>($H$5/DAY(DATE(YEAR(TODAY()),MONTH(TODAY())+1,0)))*(7-COUNTBLANK(C56:I56))</f>
        <v>0</v>
      </c>
      <c r="L59" s="46" t="str">
        <f t="shared" si="17"/>
        <v>-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 ht="15.75" customHeight="1">
      <c r="B60" s="51" t="s">
        <v>9</v>
      </c>
      <c r="C60" s="52"/>
      <c r="D60" s="53"/>
      <c r="E60" s="53"/>
      <c r="F60" s="53"/>
      <c r="G60" s="53"/>
      <c r="H60" s="53"/>
      <c r="I60" s="54"/>
      <c r="J60" s="46" t="str">
        <f t="shared" si="16"/>
        <v>-</v>
      </c>
      <c r="K60" s="55">
        <f>($J$5/DAY(DATE(YEAR(TODAY()),MONTH(TODAY())+1,0)))*(7-COUNTBLANK(C56:I56))</f>
        <v>0</v>
      </c>
      <c r="L60" s="46" t="str">
        <f t="shared" si="17"/>
        <v>-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 ht="15.75" customHeight="1">
      <c r="B61" s="51" t="s">
        <v>10</v>
      </c>
      <c r="C61" s="52"/>
      <c r="D61" s="53"/>
      <c r="E61" s="53"/>
      <c r="F61" s="53"/>
      <c r="G61" s="53"/>
      <c r="H61" s="53"/>
      <c r="I61" s="54"/>
      <c r="J61" s="46" t="str">
        <f t="shared" si="16"/>
        <v>-</v>
      </c>
      <c r="K61" s="55">
        <f>($L$5/DAY(DATE(YEAR(TODAY()),MONTH(TODAY())+1,0)))*(7-COUNTBLANK(C56:I56))</f>
        <v>0</v>
      </c>
      <c r="L61" s="46" t="str">
        <f t="shared" si="17"/>
        <v>-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 ht="15.75" customHeight="1">
      <c r="B62" s="41" t="s">
        <v>11</v>
      </c>
      <c r="C62" s="52"/>
      <c r="D62" s="53"/>
      <c r="E62" s="53"/>
      <c r="F62" s="53"/>
      <c r="G62" s="53"/>
      <c r="H62" s="53"/>
      <c r="I62" s="54"/>
      <c r="J62" s="46" t="str">
        <f t="shared" si="16"/>
        <v>-</v>
      </c>
      <c r="K62" s="55">
        <f>($N$5/DAY(DATE(YEAR(TODAY()),MONTH(TODAY())+1,0)))*(7-COUNTBLANK(C56:I56))</f>
        <v>0</v>
      </c>
      <c r="L62" s="46" t="str">
        <f t="shared" si="17"/>
        <v>-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 ht="15.75" customHeight="1">
      <c r="B63" s="56" t="s">
        <v>12</v>
      </c>
      <c r="C63" s="52"/>
      <c r="D63" s="53"/>
      <c r="E63" s="53"/>
      <c r="F63" s="53"/>
      <c r="G63" s="53"/>
      <c r="H63" s="53"/>
      <c r="I63" s="54"/>
      <c r="J63" s="46" t="str">
        <f t="shared" si="16"/>
        <v>-</v>
      </c>
      <c r="K63" s="55">
        <f>($P$5/DAY(DATE(YEAR(TODAY()),MONTH(TODAY())+1,0)))*(7-COUNTBLANK(C56:I56))</f>
        <v>0</v>
      </c>
      <c r="L63" s="46" t="str">
        <f t="shared" si="17"/>
        <v>-</v>
      </c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 ht="15.75" customHeight="1">
      <c r="B64" s="56" t="s">
        <v>13</v>
      </c>
      <c r="C64" s="52"/>
      <c r="D64" s="53"/>
      <c r="E64" s="53"/>
      <c r="F64" s="53"/>
      <c r="G64" s="53"/>
      <c r="H64" s="53"/>
      <c r="I64" s="54"/>
      <c r="J64" s="46" t="str">
        <f t="shared" si="16"/>
        <v>-</v>
      </c>
      <c r="K64" s="55">
        <f>($R$5/DAY(DATE(YEAR(TODAY()),MONTH(TODAY())+1,0)))*(7-COUNTBLANK(C56:I56))</f>
        <v>0</v>
      </c>
      <c r="L64" s="46" t="str">
        <f t="shared" si="17"/>
        <v>-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 ht="15.75" customHeight="1">
      <c r="B65" s="61" t="s">
        <v>14</v>
      </c>
      <c r="C65" s="86"/>
      <c r="D65" s="63"/>
      <c r="E65" s="63"/>
      <c r="F65" s="63"/>
      <c r="G65" s="63"/>
      <c r="H65" s="63"/>
      <c r="I65" s="83"/>
      <c r="J65" s="66">
        <f>sum(C65:I65)</f>
        <v>0</v>
      </c>
      <c r="K65" s="67">
        <f>sum(K58:K64)</f>
        <v>0</v>
      </c>
      <c r="L65" s="67">
        <f t="shared" si="17"/>
        <v>0</v>
      </c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 ht="15.75" customHeight="1">
      <c r="B66" s="68" t="s">
        <v>15</v>
      </c>
      <c r="C66" s="69"/>
      <c r="D66" s="70"/>
      <c r="E66" s="70"/>
      <c r="F66" s="70"/>
      <c r="G66" s="70"/>
      <c r="H66" s="70"/>
      <c r="I66" s="71"/>
      <c r="J66" s="72">
        <f t="shared" ref="J66:K66" si="18">iferror(J57/J65,0)</f>
        <v>0</v>
      </c>
      <c r="K66" s="73">
        <f t="shared" si="18"/>
        <v>0</v>
      </c>
      <c r="L66" s="73">
        <f t="shared" ref="L66:L67" si="19">iferror(J66-K66,0)</f>
        <v>0</v>
      </c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 ht="15.75" customHeight="1">
      <c r="B67" s="74" t="s">
        <v>33</v>
      </c>
      <c r="C67" s="75"/>
      <c r="D67" s="76"/>
      <c r="E67" s="76"/>
      <c r="F67" s="76"/>
      <c r="G67" s="76"/>
      <c r="H67" s="76"/>
      <c r="I67" s="77"/>
      <c r="J67" s="78"/>
      <c r="K67" s="78"/>
      <c r="L67" s="78">
        <f t="shared" si="19"/>
        <v>0</v>
      </c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 ht="15.75" customHeight="1">
      <c r="B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 ht="15.75" customHeight="1">
      <c r="B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 ht="15.75" customHeight="1">
      <c r="B70" s="21" t="s">
        <v>37</v>
      </c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 ht="15.75" customHeight="1">
      <c r="B71" s="22" t="s">
        <v>19</v>
      </c>
      <c r="C71" s="111"/>
      <c r="D71" s="84"/>
      <c r="E71" s="84"/>
      <c r="F71" s="84"/>
      <c r="G71" s="84"/>
      <c r="H71" s="84"/>
      <c r="I71" s="84"/>
      <c r="J71" s="25" t="s">
        <v>20</v>
      </c>
      <c r="K71" s="25" t="s">
        <v>21</v>
      </c>
      <c r="L71" s="25" t="s">
        <v>17</v>
      </c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 ht="15.75" customHeight="1">
      <c r="B72" s="31" t="s">
        <v>6</v>
      </c>
      <c r="C72" s="89"/>
      <c r="D72" s="33"/>
      <c r="E72" s="33"/>
      <c r="F72" s="33"/>
      <c r="G72" s="33"/>
      <c r="H72" s="33"/>
      <c r="I72" s="85"/>
      <c r="J72" s="36">
        <f>sum(C72:I72)</f>
        <v>0</v>
      </c>
      <c r="K72" s="37">
        <f>($D$5/DAY(DATE(YEAR(TODAY()),MONTH(TODAY())+1,0)))*(7-COUNTBLANK(C71:I71))</f>
        <v>0</v>
      </c>
      <c r="L72" s="37">
        <f>iferror(J72-K72,0)</f>
        <v>0</v>
      </c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 ht="15.75" customHeight="1">
      <c r="B73" s="41" t="s">
        <v>7</v>
      </c>
      <c r="C73" s="48"/>
      <c r="D73" s="43"/>
      <c r="E73" s="43"/>
      <c r="F73" s="43"/>
      <c r="G73" s="43"/>
      <c r="H73" s="43"/>
      <c r="I73" s="45"/>
      <c r="J73" s="46" t="str">
        <f t="shared" ref="J73:J79" si="20">if(sum(C73:I73) =0,"-",sum(C73:I73))</f>
        <v>-</v>
      </c>
      <c r="K73" s="46">
        <f>($F$5/DAY(DATE(YEAR(TODAY()),MONTH(TODAY())+1,0)))*(7-COUNTBLANK(C71:I71))</f>
        <v>0</v>
      </c>
      <c r="L73" s="46" t="str">
        <f t="shared" ref="L73:L80" si="21">iferror(J73-K73,"-")</f>
        <v>-</v>
      </c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 ht="15.75" customHeight="1">
      <c r="B74" s="41" t="s">
        <v>8</v>
      </c>
      <c r="C74" s="48"/>
      <c r="D74" s="43"/>
      <c r="E74" s="43"/>
      <c r="F74" s="43"/>
      <c r="G74" s="43"/>
      <c r="H74" s="43"/>
      <c r="I74" s="45"/>
      <c r="J74" s="46" t="str">
        <f t="shared" si="20"/>
        <v>-</v>
      </c>
      <c r="K74" s="46">
        <f>($H$5/DAY(DATE(YEAR(TODAY()),MONTH(TODAY())+1,0)))*(7-COUNTBLANK(C71:I71))</f>
        <v>0</v>
      </c>
      <c r="L74" s="46" t="str">
        <f t="shared" si="21"/>
        <v>-</v>
      </c>
    </row>
    <row r="75" ht="15.75" customHeight="1">
      <c r="B75" s="51" t="s">
        <v>9</v>
      </c>
      <c r="C75" s="52"/>
      <c r="D75" s="53"/>
      <c r="E75" s="53"/>
      <c r="F75" s="53"/>
      <c r="G75" s="53"/>
      <c r="H75" s="53"/>
      <c r="I75" s="54"/>
      <c r="J75" s="46" t="str">
        <f t="shared" si="20"/>
        <v>-</v>
      </c>
      <c r="K75" s="55">
        <f>($J$5/DAY(DATE(YEAR(TODAY()),MONTH(TODAY())+1,0)))*(7-COUNTBLANK(C71:I71))</f>
        <v>0</v>
      </c>
      <c r="L75" s="46" t="str">
        <f t="shared" si="21"/>
        <v>-</v>
      </c>
    </row>
    <row r="76" ht="15.75" customHeight="1">
      <c r="B76" s="51" t="s">
        <v>10</v>
      </c>
      <c r="C76" s="52"/>
      <c r="D76" s="53"/>
      <c r="E76" s="53"/>
      <c r="F76" s="53"/>
      <c r="G76" s="53"/>
      <c r="H76" s="53"/>
      <c r="I76" s="54"/>
      <c r="J76" s="46" t="str">
        <f t="shared" si="20"/>
        <v>-</v>
      </c>
      <c r="K76" s="55">
        <f>($L$5/DAY(DATE(YEAR(TODAY()),MONTH(TODAY())+1,0)))*(7-COUNTBLANK(C71:I71))</f>
        <v>0</v>
      </c>
      <c r="L76" s="46" t="str">
        <f t="shared" si="21"/>
        <v>-</v>
      </c>
    </row>
    <row r="77" ht="15.75" customHeight="1">
      <c r="B77" s="41" t="s">
        <v>11</v>
      </c>
      <c r="C77" s="52"/>
      <c r="D77" s="53"/>
      <c r="E77" s="53"/>
      <c r="F77" s="53"/>
      <c r="G77" s="53"/>
      <c r="H77" s="53"/>
      <c r="I77" s="54"/>
      <c r="J77" s="46" t="str">
        <f t="shared" si="20"/>
        <v>-</v>
      </c>
      <c r="K77" s="55">
        <f>($N$5/DAY(DATE(YEAR(TODAY()),MONTH(TODAY())+1,0)))*(7-COUNTBLANK(C71:I71))</f>
        <v>0</v>
      </c>
      <c r="L77" s="46" t="str">
        <f t="shared" si="21"/>
        <v>-</v>
      </c>
    </row>
    <row r="78" ht="15.75" customHeight="1">
      <c r="B78" s="56" t="s">
        <v>12</v>
      </c>
      <c r="C78" s="52"/>
      <c r="D78" s="53"/>
      <c r="E78" s="53"/>
      <c r="F78" s="53"/>
      <c r="G78" s="53"/>
      <c r="H78" s="53"/>
      <c r="I78" s="54"/>
      <c r="J78" s="46" t="str">
        <f t="shared" si="20"/>
        <v>-</v>
      </c>
      <c r="K78" s="55">
        <f>($P$5/DAY(DATE(YEAR(TODAY()),MONTH(TODAY())+1,0)))*(7-COUNTBLANK(C71:I71))</f>
        <v>0</v>
      </c>
      <c r="L78" s="46" t="str">
        <f t="shared" si="21"/>
        <v>-</v>
      </c>
    </row>
    <row r="79" ht="15.75" customHeight="1">
      <c r="B79" s="56" t="s">
        <v>13</v>
      </c>
      <c r="C79" s="52"/>
      <c r="D79" s="53"/>
      <c r="E79" s="53"/>
      <c r="F79" s="53"/>
      <c r="G79" s="53"/>
      <c r="H79" s="53"/>
      <c r="I79" s="54"/>
      <c r="J79" s="46" t="str">
        <f t="shared" si="20"/>
        <v>-</v>
      </c>
      <c r="K79" s="55">
        <f>($R$5/DAY(DATE(YEAR(TODAY()),MONTH(TODAY())+1,0)))*(7-COUNTBLANK(C71:I71))</f>
        <v>0</v>
      </c>
      <c r="L79" s="46" t="str">
        <f t="shared" si="21"/>
        <v>-</v>
      </c>
    </row>
    <row r="80" ht="15.75" customHeight="1">
      <c r="B80" s="61" t="s">
        <v>14</v>
      </c>
      <c r="C80" s="86">
        <f t="shared" ref="C80:I80" si="22">sum(C73:C79)</f>
        <v>0</v>
      </c>
      <c r="D80" s="63">
        <f t="shared" si="22"/>
        <v>0</v>
      </c>
      <c r="E80" s="63">
        <f t="shared" si="22"/>
        <v>0</v>
      </c>
      <c r="F80" s="63">
        <f t="shared" si="22"/>
        <v>0</v>
      </c>
      <c r="G80" s="63">
        <f t="shared" si="22"/>
        <v>0</v>
      </c>
      <c r="H80" s="63">
        <f t="shared" si="22"/>
        <v>0</v>
      </c>
      <c r="I80" s="83">
        <f t="shared" si="22"/>
        <v>0</v>
      </c>
      <c r="J80" s="66">
        <f>sum(C80:I80)</f>
        <v>0</v>
      </c>
      <c r="K80" s="67">
        <f>sum(K73:K79)</f>
        <v>0</v>
      </c>
      <c r="L80" s="67">
        <f t="shared" si="21"/>
        <v>0</v>
      </c>
    </row>
    <row r="81" ht="15.75" customHeight="1">
      <c r="B81" s="68" t="s">
        <v>15</v>
      </c>
      <c r="C81" s="69">
        <f t="shared" ref="C81:K81" si="23">iferror(C72/C80,0)</f>
        <v>0</v>
      </c>
      <c r="D81" s="70">
        <f t="shared" si="23"/>
        <v>0</v>
      </c>
      <c r="E81" s="70">
        <f t="shared" si="23"/>
        <v>0</v>
      </c>
      <c r="F81" s="70">
        <f t="shared" si="23"/>
        <v>0</v>
      </c>
      <c r="G81" s="70">
        <f t="shared" si="23"/>
        <v>0</v>
      </c>
      <c r="H81" s="70">
        <f t="shared" si="23"/>
        <v>0</v>
      </c>
      <c r="I81" s="71">
        <f t="shared" si="23"/>
        <v>0</v>
      </c>
      <c r="J81" s="72">
        <f t="shared" si="23"/>
        <v>0</v>
      </c>
      <c r="K81" s="73">
        <f t="shared" si="23"/>
        <v>0</v>
      </c>
      <c r="L81" s="73">
        <f t="shared" ref="L81:L82" si="24">iferror(J81-K81,0)</f>
        <v>0</v>
      </c>
    </row>
    <row r="82" ht="15.75" customHeight="1">
      <c r="B82" s="74" t="s">
        <v>33</v>
      </c>
      <c r="C82" s="75"/>
      <c r="D82" s="76"/>
      <c r="E82" s="76"/>
      <c r="F82" s="76"/>
      <c r="G82" s="76"/>
      <c r="H82" s="76"/>
      <c r="I82" s="77"/>
      <c r="J82" s="78"/>
      <c r="K82" s="78"/>
      <c r="L82" s="78">
        <f t="shared" si="24"/>
        <v>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V2"/>
    <mergeCell ref="E4:G4"/>
    <mergeCell ref="J4:L4"/>
    <mergeCell ref="U4:V4"/>
  </mergeCells>
  <conditionalFormatting sqref="L11:L21 L26:L37 L42:L52 L57:L67 L72:L82">
    <cfRule type="cellIs" dxfId="0" priority="1" operator="greaterThan">
      <formula>0</formula>
    </cfRule>
  </conditionalFormatting>
  <conditionalFormatting sqref="L11:L21 L26:L37 L42:L52 L57:L67 L72:L82">
    <cfRule type="cellIs" dxfId="1" priority="2" operator="lessThan">
      <formula>0</formula>
    </cfRule>
  </conditionalFormatting>
  <conditionalFormatting sqref="D7 F7 H7 J7 L7 N7 P7 R7 T7 V7">
    <cfRule type="cellIs" dxfId="1" priority="3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</row>
    <row r="3" ht="15.75" customHeight="1"/>
    <row r="4" ht="15.75" customHeight="1">
      <c r="B4" s="87" t="s">
        <v>38</v>
      </c>
      <c r="C4" s="3"/>
      <c r="D4" s="4"/>
      <c r="E4" s="113" t="s">
        <v>77</v>
      </c>
      <c r="H4" s="4"/>
      <c r="I4" s="4" t="s">
        <v>2</v>
      </c>
      <c r="J4" s="4" t="s">
        <v>3</v>
      </c>
      <c r="M4" s="5"/>
      <c r="N4" s="5"/>
      <c r="O4" s="5"/>
      <c r="P4" s="5"/>
      <c r="Q4" s="5"/>
      <c r="R4" s="5"/>
      <c r="S4" s="5"/>
      <c r="T4" s="5"/>
      <c r="U4" s="5" t="s">
        <v>4</v>
      </c>
    </row>
    <row r="5" ht="15.75" customHeight="1">
      <c r="B5" s="6" t="s">
        <v>5</v>
      </c>
      <c r="C5" s="7" t="s">
        <v>6</v>
      </c>
      <c r="D5" s="114"/>
      <c r="E5" s="7" t="s">
        <v>7</v>
      </c>
      <c r="F5" s="10"/>
      <c r="G5" s="7" t="s">
        <v>8</v>
      </c>
      <c r="H5" s="10"/>
      <c r="I5" s="7" t="s">
        <v>9</v>
      </c>
      <c r="J5" s="10"/>
      <c r="K5" s="7" t="s">
        <v>10</v>
      </c>
      <c r="L5" s="10">
        <v>0.0</v>
      </c>
      <c r="M5" s="7" t="s">
        <v>11</v>
      </c>
      <c r="N5" s="9">
        <v>17.0</v>
      </c>
      <c r="O5" s="7" t="s">
        <v>12</v>
      </c>
      <c r="P5" s="9">
        <v>8.0</v>
      </c>
      <c r="Q5" s="7" t="s">
        <v>13</v>
      </c>
      <c r="R5" s="10"/>
      <c r="S5" s="7" t="s">
        <v>14</v>
      </c>
      <c r="T5" s="10">
        <f t="shared" ref="T5:T6" si="1">SUM(E5:R5)</f>
        <v>25</v>
      </c>
      <c r="U5" s="7" t="s">
        <v>15</v>
      </c>
      <c r="V5" s="11">
        <f>iferror(D5/T5,"-")</f>
        <v>0</v>
      </c>
    </row>
    <row r="6" ht="15.75" customHeight="1">
      <c r="B6" s="12" t="s">
        <v>16</v>
      </c>
      <c r="C6" s="13" t="s">
        <v>6</v>
      </c>
      <c r="D6" s="14">
        <v>1578800.0</v>
      </c>
      <c r="E6" s="13" t="s">
        <v>7</v>
      </c>
      <c r="F6" s="14">
        <v>5.0</v>
      </c>
      <c r="G6" s="13" t="s">
        <v>8</v>
      </c>
      <c r="H6" s="15">
        <f>IFERROR(__xludf.DUMMYFUNCTION("SUM(FILTER($J10:$J1025,$B10:$B1025=G6))"),0.0)</f>
        <v>0</v>
      </c>
      <c r="I6" s="13" t="s">
        <v>9</v>
      </c>
      <c r="J6" s="15">
        <f>IFERROR(__xludf.DUMMYFUNCTION("SUM(FILTER($J10:$J1025,$B10:$B1025=I6))"),0.0)</f>
        <v>0</v>
      </c>
      <c r="K6" s="13" t="s">
        <v>10</v>
      </c>
      <c r="L6" s="15">
        <f>IFERROR(__xludf.DUMMYFUNCTION("SUM(FILTER($J10:$J1025,$B10:$B1025=K6))"),0.0)</f>
        <v>0</v>
      </c>
      <c r="M6" s="13" t="s">
        <v>11</v>
      </c>
      <c r="N6" s="14">
        <v>17.0</v>
      </c>
      <c r="O6" s="13" t="s">
        <v>12</v>
      </c>
      <c r="P6" s="14">
        <v>8.0</v>
      </c>
      <c r="Q6" s="13" t="s">
        <v>13</v>
      </c>
      <c r="R6" s="15">
        <f>IFERROR(__xludf.DUMMYFUNCTION("SUM(FILTER($J10:$J1025,$B10:$B1025=Q6))"),0.0)</f>
        <v>0</v>
      </c>
      <c r="S6" s="13" t="s">
        <v>14</v>
      </c>
      <c r="T6" s="15">
        <f t="shared" si="1"/>
        <v>30</v>
      </c>
      <c r="U6" s="13" t="s">
        <v>15</v>
      </c>
      <c r="V6" s="16">
        <f>iferror(D6/T6,0)</f>
        <v>52626.66667</v>
      </c>
    </row>
    <row r="7" ht="15.75" customHeight="1">
      <c r="B7" s="17" t="s">
        <v>17</v>
      </c>
      <c r="C7" s="18" t="s">
        <v>6</v>
      </c>
      <c r="D7" s="19">
        <f>D6-D5</f>
        <v>1578800</v>
      </c>
      <c r="E7" s="18" t="s">
        <v>7</v>
      </c>
      <c r="F7" s="19">
        <f>F6-F5</f>
        <v>5</v>
      </c>
      <c r="G7" s="18" t="s">
        <v>8</v>
      </c>
      <c r="H7" s="19">
        <f>H6-H5</f>
        <v>0</v>
      </c>
      <c r="I7" s="18" t="s">
        <v>9</v>
      </c>
      <c r="J7" s="19">
        <f>J6-J5</f>
        <v>0</v>
      </c>
      <c r="K7" s="18" t="s">
        <v>10</v>
      </c>
      <c r="L7" s="19">
        <f>L6-L5</f>
        <v>0</v>
      </c>
      <c r="M7" s="18" t="s">
        <v>11</v>
      </c>
      <c r="N7" s="19">
        <f>N6-N5</f>
        <v>0</v>
      </c>
      <c r="O7" s="18" t="s">
        <v>12</v>
      </c>
      <c r="P7" s="19">
        <f>P6-P5</f>
        <v>0</v>
      </c>
      <c r="Q7" s="18" t="s">
        <v>13</v>
      </c>
      <c r="R7" s="19">
        <f>R6-R5</f>
        <v>0</v>
      </c>
      <c r="S7" s="18" t="s">
        <v>14</v>
      </c>
      <c r="T7" s="19">
        <f>T6-T5</f>
        <v>5</v>
      </c>
      <c r="U7" s="18" t="s">
        <v>15</v>
      </c>
      <c r="V7" s="20">
        <f>V6-V5</f>
        <v>52626.66667</v>
      </c>
    </row>
    <row r="8" ht="17.25" customHeight="1"/>
    <row r="9" ht="15.75" customHeight="1">
      <c r="B9" s="21" t="s">
        <v>18</v>
      </c>
    </row>
    <row r="10" ht="15.75" customHeight="1">
      <c r="B10" s="22" t="s">
        <v>19</v>
      </c>
      <c r="C10" s="23"/>
      <c r="D10" s="24"/>
      <c r="E10" s="84"/>
      <c r="F10" s="84"/>
      <c r="G10" s="84"/>
      <c r="H10" s="24" t="s">
        <v>39</v>
      </c>
      <c r="I10" s="84"/>
      <c r="J10" s="25" t="s">
        <v>20</v>
      </c>
      <c r="K10" s="25" t="s">
        <v>21</v>
      </c>
      <c r="L10" s="25" t="s">
        <v>17</v>
      </c>
      <c r="N10" s="26" t="s">
        <v>22</v>
      </c>
      <c r="O10" s="27">
        <f>SUM(O11:O31)</f>
        <v>0</v>
      </c>
      <c r="Q10" s="28"/>
      <c r="R10" s="29"/>
      <c r="S10" s="30" t="s">
        <v>6</v>
      </c>
      <c r="T10" s="30" t="s">
        <v>12</v>
      </c>
      <c r="U10" s="30" t="s">
        <v>7</v>
      </c>
    </row>
    <row r="11" ht="15.75" customHeight="1">
      <c r="B11" s="31" t="s">
        <v>6</v>
      </c>
      <c r="C11" s="89"/>
      <c r="D11" s="33"/>
      <c r="E11" s="33"/>
      <c r="F11" s="33"/>
      <c r="G11" s="33"/>
      <c r="H11" s="33"/>
      <c r="I11" s="85"/>
      <c r="J11" s="36">
        <f>sum(C11:I11)</f>
        <v>0</v>
      </c>
      <c r="K11" s="37">
        <f>($D$5/DAY(DATE(YEAR(TODAY()),MONTH(TODAY())+1,0)))*(7-COUNTBLANK(C10:I10))</f>
        <v>0</v>
      </c>
      <c r="L11" s="37">
        <f>iferror(J11-K11,0)</f>
        <v>0</v>
      </c>
      <c r="N11" s="38"/>
      <c r="O11" s="39"/>
      <c r="Q11" s="28"/>
      <c r="R11" s="29" t="s">
        <v>23</v>
      </c>
      <c r="S11" s="40"/>
      <c r="T11" s="40"/>
      <c r="U11" s="40"/>
    </row>
    <row r="12" ht="15.75" customHeight="1">
      <c r="B12" s="41" t="s">
        <v>7</v>
      </c>
      <c r="C12" s="48"/>
      <c r="D12" s="43"/>
      <c r="E12" s="43"/>
      <c r="F12" s="43"/>
      <c r="G12" s="43"/>
      <c r="H12" s="43"/>
      <c r="I12" s="45"/>
      <c r="J12" s="46" t="str">
        <f t="shared" ref="J12:J18" si="2">if(sum(C12:I12) =0,"-",sum(C12:I12))</f>
        <v>-</v>
      </c>
      <c r="K12" s="46">
        <f>($F$5/DAY(DATE(YEAR(TODAY()),MONTH(TODAY())+1,0)))*(7-COUNTBLANK(C10:I10))</f>
        <v>0</v>
      </c>
      <c r="L12" s="46" t="str">
        <f t="shared" ref="L12:L19" si="3">iferror(J12-K12,"-")</f>
        <v>-</v>
      </c>
      <c r="N12" s="13"/>
      <c r="O12" s="47"/>
      <c r="R12" s="29" t="s">
        <v>24</v>
      </c>
      <c r="S12" s="40"/>
      <c r="T12" s="40"/>
      <c r="U12" s="40"/>
    </row>
    <row r="13" ht="15.75" customHeight="1">
      <c r="B13" s="41" t="s">
        <v>8</v>
      </c>
      <c r="C13" s="48"/>
      <c r="D13" s="43"/>
      <c r="E13" s="43"/>
      <c r="F13" s="43"/>
      <c r="G13" s="43"/>
      <c r="H13" s="43"/>
      <c r="I13" s="45"/>
      <c r="J13" s="46" t="str">
        <f t="shared" si="2"/>
        <v>-</v>
      </c>
      <c r="K13" s="46">
        <f>($H$5/DAY(DATE(YEAR(TODAY()),MONTH(TODAY())+1,0)))*(7-COUNTBLANK(C10:I10))</f>
        <v>0</v>
      </c>
      <c r="L13" s="46" t="str">
        <f t="shared" si="3"/>
        <v>-</v>
      </c>
      <c r="N13" s="49"/>
      <c r="O13" s="47"/>
      <c r="R13" s="50" t="s">
        <v>25</v>
      </c>
      <c r="S13" s="40"/>
      <c r="T13" s="40"/>
      <c r="U13" s="40"/>
    </row>
    <row r="14" ht="15.75" customHeight="1">
      <c r="B14" s="51" t="s">
        <v>9</v>
      </c>
      <c r="C14" s="52"/>
      <c r="D14" s="53"/>
      <c r="E14" s="53"/>
      <c r="F14" s="53"/>
      <c r="G14" s="53"/>
      <c r="H14" s="53"/>
      <c r="I14" s="54"/>
      <c r="J14" s="46" t="str">
        <f t="shared" si="2"/>
        <v>-</v>
      </c>
      <c r="K14" s="55">
        <f>($J$5/DAY(DATE(YEAR(TODAY()),MONTH(TODAY())+1,0)))*(7-COUNTBLANK(C10:I10))</f>
        <v>0</v>
      </c>
      <c r="L14" s="46" t="str">
        <f t="shared" si="3"/>
        <v>-</v>
      </c>
      <c r="N14" s="13"/>
      <c r="O14" s="47"/>
      <c r="R14" s="50"/>
      <c r="S14" s="50"/>
      <c r="T14" s="50"/>
      <c r="U14" s="50"/>
    </row>
    <row r="15" ht="15.75" customHeight="1">
      <c r="B15" s="51" t="s">
        <v>10</v>
      </c>
      <c r="C15" s="52"/>
      <c r="D15" s="53"/>
      <c r="E15" s="53"/>
      <c r="F15" s="53"/>
      <c r="G15" s="53"/>
      <c r="H15" s="53"/>
      <c r="I15" s="54"/>
      <c r="J15" s="46" t="str">
        <f t="shared" si="2"/>
        <v>-</v>
      </c>
      <c r="K15" s="55">
        <f>($L$5/DAY(DATE(YEAR(TODAY()),MONTH(TODAY())+1,0)))*(7-COUNTBLANK(C10:I10))</f>
        <v>0</v>
      </c>
      <c r="L15" s="46" t="str">
        <f t="shared" si="3"/>
        <v>-</v>
      </c>
      <c r="N15" s="49"/>
      <c r="O15" s="47"/>
      <c r="R15" s="50" t="s">
        <v>26</v>
      </c>
      <c r="S15" s="40" t="str">
        <f>AVERAGE(S11:S13)</f>
        <v>#DIV/0!</v>
      </c>
      <c r="T15" s="50"/>
      <c r="U15" s="50"/>
    </row>
    <row r="16" ht="15.75" customHeight="1">
      <c r="B16" s="41" t="s">
        <v>11</v>
      </c>
      <c r="C16" s="52"/>
      <c r="D16" s="53"/>
      <c r="E16" s="53"/>
      <c r="F16" s="53"/>
      <c r="G16" s="53"/>
      <c r="H16" s="53"/>
      <c r="I16" s="54"/>
      <c r="J16" s="46" t="str">
        <f t="shared" si="2"/>
        <v>-</v>
      </c>
      <c r="K16" s="55">
        <f>($N$5/DAY(DATE(YEAR(TODAY()),MONTH(TODAY())+1,0)))*(7-COUNTBLANK(C10:I10))</f>
        <v>0.5666666667</v>
      </c>
      <c r="L16" s="46" t="str">
        <f t="shared" si="3"/>
        <v>-</v>
      </c>
      <c r="N16" s="49"/>
      <c r="O16" s="47"/>
      <c r="R16" s="50" t="s">
        <v>27</v>
      </c>
      <c r="S16" s="40" t="str">
        <f>AVERAGE(T11:T13)</f>
        <v>#DIV/0!</v>
      </c>
      <c r="T16" s="50"/>
      <c r="U16" s="50"/>
    </row>
    <row r="17" ht="15.75" customHeight="1">
      <c r="B17" s="56" t="s">
        <v>12</v>
      </c>
      <c r="C17" s="52"/>
      <c r="D17" s="53"/>
      <c r="E17" s="53"/>
      <c r="F17" s="53"/>
      <c r="G17" s="53"/>
      <c r="H17" s="53"/>
      <c r="I17" s="54"/>
      <c r="J17" s="46" t="str">
        <f t="shared" si="2"/>
        <v>-</v>
      </c>
      <c r="K17" s="55">
        <f>($P$5/DAY(DATE(YEAR(TODAY()),MONTH(TODAY())+1,0)))*(7-COUNTBLANK(C10:I10))</f>
        <v>0.2666666667</v>
      </c>
      <c r="L17" s="46" t="str">
        <f t="shared" si="3"/>
        <v>-</v>
      </c>
      <c r="N17" s="49"/>
      <c r="O17" s="47"/>
      <c r="R17" s="50"/>
      <c r="S17" s="50"/>
      <c r="T17" s="50"/>
      <c r="U17" s="50"/>
    </row>
    <row r="18" ht="15.75" customHeight="1">
      <c r="B18" s="56" t="s">
        <v>13</v>
      </c>
      <c r="C18" s="52"/>
      <c r="D18" s="53"/>
      <c r="E18" s="53"/>
      <c r="F18" s="53"/>
      <c r="G18" s="53"/>
      <c r="H18" s="53"/>
      <c r="I18" s="54"/>
      <c r="J18" s="46" t="str">
        <f t="shared" si="2"/>
        <v>-</v>
      </c>
      <c r="K18" s="55">
        <f>($R$5/DAY(DATE(YEAR(TODAY()),MONTH(TODAY())+1,0)))*(7-COUNTBLANK(C10:I10))</f>
        <v>0</v>
      </c>
      <c r="L18" s="46" t="str">
        <f t="shared" si="3"/>
        <v>-</v>
      </c>
      <c r="N18" s="49"/>
      <c r="O18" s="47"/>
      <c r="R18" s="50" t="s">
        <v>28</v>
      </c>
      <c r="S18" s="60" t="str">
        <f>(P6+R6)/U11</f>
        <v>#DIV/0!</v>
      </c>
      <c r="T18" s="50"/>
      <c r="U18" s="50" t="s">
        <v>29</v>
      </c>
    </row>
    <row r="19" ht="15.75" customHeight="1">
      <c r="B19" s="61" t="s">
        <v>14</v>
      </c>
      <c r="C19" s="86"/>
      <c r="D19" s="63"/>
      <c r="E19" s="63"/>
      <c r="F19" s="63"/>
      <c r="G19" s="63"/>
      <c r="H19" s="63"/>
      <c r="I19" s="83"/>
      <c r="J19" s="66">
        <f>sum(C19:I19)</f>
        <v>0</v>
      </c>
      <c r="K19" s="67">
        <f>sum(K12:K18)</f>
        <v>0.8333333333</v>
      </c>
      <c r="L19" s="67">
        <f t="shared" si="3"/>
        <v>-0.8333333333</v>
      </c>
      <c r="N19" s="49"/>
      <c r="O19" s="47"/>
      <c r="R19" s="50" t="s">
        <v>30</v>
      </c>
      <c r="S19" s="60" t="str">
        <f>D6/D5</f>
        <v>#DIV/0!</v>
      </c>
      <c r="T19" s="50"/>
      <c r="U19" s="50"/>
    </row>
    <row r="20" ht="15.75" customHeight="1">
      <c r="B20" s="68" t="s">
        <v>15</v>
      </c>
      <c r="C20" s="69"/>
      <c r="D20" s="70"/>
      <c r="E20" s="70"/>
      <c r="F20" s="70"/>
      <c r="G20" s="70"/>
      <c r="H20" s="70"/>
      <c r="I20" s="71"/>
      <c r="J20" s="72">
        <f t="shared" ref="J20:K20" si="4">iferror(J11/J19,0)</f>
        <v>0</v>
      </c>
      <c r="K20" s="73">
        <f t="shared" si="4"/>
        <v>0</v>
      </c>
      <c r="L20" s="73">
        <f t="shared" ref="L20:L21" si="5">iferror(J20-K20,0)</f>
        <v>0</v>
      </c>
      <c r="N20" s="13"/>
      <c r="O20" s="47"/>
      <c r="R20" s="50" t="s">
        <v>31</v>
      </c>
      <c r="S20" s="60" t="str">
        <f>((D6/S11)-1)</f>
        <v>#DIV/0!</v>
      </c>
      <c r="T20" s="50"/>
      <c r="U20" s="50" t="s">
        <v>32</v>
      </c>
    </row>
    <row r="21" ht="15.75" customHeight="1">
      <c r="B21" s="74" t="s">
        <v>33</v>
      </c>
      <c r="C21" s="75"/>
      <c r="D21" s="76"/>
      <c r="E21" s="76"/>
      <c r="F21" s="76"/>
      <c r="G21" s="76"/>
      <c r="H21" s="76"/>
      <c r="I21" s="77"/>
      <c r="J21" s="78"/>
      <c r="K21" s="78"/>
      <c r="L21" s="78">
        <f t="shared" si="5"/>
        <v>0</v>
      </c>
      <c r="M21" s="79"/>
      <c r="N21" s="49"/>
      <c r="O21" s="47"/>
      <c r="P21" s="79"/>
      <c r="Q21" s="79"/>
      <c r="R21" s="79"/>
      <c r="S21" s="79"/>
      <c r="T21" s="79"/>
      <c r="U21" s="79"/>
      <c r="V21" s="79"/>
    </row>
    <row r="22" ht="18.0" customHeight="1">
      <c r="B22" s="79"/>
      <c r="J22" s="79"/>
      <c r="K22" s="79"/>
      <c r="L22" s="79"/>
      <c r="M22" s="79"/>
      <c r="N22" s="49"/>
      <c r="O22" s="47"/>
      <c r="P22" s="79"/>
      <c r="Q22" s="79"/>
      <c r="R22" s="79"/>
      <c r="T22" s="79"/>
      <c r="U22" s="79"/>
      <c r="V22" s="79"/>
    </row>
    <row r="23" ht="15.75" customHeight="1">
      <c r="B23" s="21" t="s">
        <v>34</v>
      </c>
      <c r="J23" s="79"/>
      <c r="K23" s="79"/>
      <c r="L23" s="79"/>
      <c r="N23" s="49"/>
      <c r="O23" s="47"/>
    </row>
    <row r="24" ht="15.75" customHeight="1">
      <c r="B24" s="21"/>
      <c r="J24" s="79"/>
      <c r="K24" s="79"/>
      <c r="L24" s="79"/>
      <c r="N24" s="49"/>
      <c r="O24" s="47"/>
    </row>
    <row r="25" ht="15.75" customHeight="1">
      <c r="B25" s="22" t="s">
        <v>19</v>
      </c>
      <c r="C25" s="111"/>
      <c r="D25" s="84"/>
      <c r="E25" s="84"/>
      <c r="F25" s="84"/>
      <c r="G25" s="84"/>
      <c r="H25" s="84"/>
      <c r="I25" s="84"/>
      <c r="J25" s="25" t="s">
        <v>20</v>
      </c>
      <c r="K25" s="25" t="s">
        <v>21</v>
      </c>
      <c r="L25" s="25" t="s">
        <v>17</v>
      </c>
      <c r="N25" s="50"/>
      <c r="O25" s="50"/>
    </row>
    <row r="26" ht="15.75" customHeight="1">
      <c r="B26" s="31" t="s">
        <v>6</v>
      </c>
      <c r="C26" s="89"/>
      <c r="D26" s="33"/>
      <c r="E26" s="33"/>
      <c r="F26" s="33"/>
      <c r="G26" s="33"/>
      <c r="H26" s="33"/>
      <c r="I26" s="85"/>
      <c r="J26" s="36">
        <f>sum(C26:I26)</f>
        <v>0</v>
      </c>
      <c r="K26" s="37">
        <f>($D$5/DAY(DATE(YEAR(TODAY()),MONTH(TODAY())+1,0)))*(7-COUNTBLANK(C25:I25))</f>
        <v>0</v>
      </c>
      <c r="L26" s="37">
        <f>iferror(J26-K26,0)</f>
        <v>0</v>
      </c>
      <c r="N26" s="50"/>
      <c r="O26" s="50"/>
    </row>
    <row r="27" ht="15.75" customHeight="1">
      <c r="B27" s="41" t="s">
        <v>7</v>
      </c>
      <c r="C27" s="48"/>
      <c r="D27" s="43"/>
      <c r="E27" s="43"/>
      <c r="F27" s="43"/>
      <c r="G27" s="43"/>
      <c r="H27" s="43"/>
      <c r="I27" s="45"/>
      <c r="J27" s="46" t="str">
        <f t="shared" ref="J27:J30" si="6">if(sum(C27:I27) =0,"-",sum(C27:I27))</f>
        <v>-</v>
      </c>
      <c r="K27" s="46">
        <f>($F$5/DAY(DATE(YEAR(TODAY()),MONTH(TODAY())+1,0)))*(7-COUNTBLANK(C25:I25))</f>
        <v>0</v>
      </c>
      <c r="L27" s="46" t="str">
        <f t="shared" ref="L27:L30" si="7">iferror(J27-K27,"-")</f>
        <v>-</v>
      </c>
      <c r="N27" s="50"/>
      <c r="O27" s="50"/>
    </row>
    <row r="28" ht="15.75" customHeight="1">
      <c r="B28" s="41" t="s">
        <v>8</v>
      </c>
      <c r="C28" s="48"/>
      <c r="D28" s="43"/>
      <c r="E28" s="43"/>
      <c r="F28" s="43"/>
      <c r="G28" s="43"/>
      <c r="H28" s="43"/>
      <c r="I28" s="45"/>
      <c r="J28" s="46" t="str">
        <f t="shared" si="6"/>
        <v>-</v>
      </c>
      <c r="K28" s="46">
        <f>($H$5/DAY(DATE(YEAR(TODAY()),MONTH(TODAY())+1,0)))*(7-COUNTBLANK(C25:I25))</f>
        <v>0</v>
      </c>
      <c r="L28" s="46" t="str">
        <f t="shared" si="7"/>
        <v>-</v>
      </c>
      <c r="N28" s="50"/>
      <c r="O28" s="50"/>
    </row>
    <row r="29" ht="15.75" customHeight="1">
      <c r="B29" s="51" t="s">
        <v>9</v>
      </c>
      <c r="C29" s="52"/>
      <c r="D29" s="53"/>
      <c r="E29" s="53"/>
      <c r="F29" s="53"/>
      <c r="G29" s="53"/>
      <c r="H29" s="53"/>
      <c r="I29" s="54"/>
      <c r="J29" s="46" t="str">
        <f t="shared" si="6"/>
        <v>-</v>
      </c>
      <c r="K29" s="55">
        <f>($J$5/DAY(DATE(YEAR(TODAY()),MONTH(TODAY())+1,0)))*(7-COUNTBLANK(C25:I25))</f>
        <v>0</v>
      </c>
      <c r="L29" s="46" t="str">
        <f t="shared" si="7"/>
        <v>-</v>
      </c>
      <c r="N29" s="50"/>
      <c r="O29" s="50"/>
      <c r="R29" s="82"/>
    </row>
    <row r="30" ht="15.75" customHeight="1">
      <c r="B30" s="51" t="s">
        <v>10</v>
      </c>
      <c r="C30" s="52"/>
      <c r="D30" s="53"/>
      <c r="E30" s="53"/>
      <c r="F30" s="53"/>
      <c r="G30" s="53"/>
      <c r="H30" s="53"/>
      <c r="I30" s="54"/>
      <c r="J30" s="46" t="str">
        <f t="shared" si="6"/>
        <v>-</v>
      </c>
      <c r="K30" s="55">
        <f>($L$5/DAY(DATE(YEAR(TODAY()),MONTH(TODAY())+1,0)))*(7-COUNTBLANK(C25:I25))</f>
        <v>0</v>
      </c>
      <c r="L30" s="46" t="str">
        <f t="shared" si="7"/>
        <v>-</v>
      </c>
      <c r="N30" s="50"/>
      <c r="O30" s="50"/>
    </row>
    <row r="31" ht="15.75" customHeight="1">
      <c r="B31" s="51"/>
      <c r="C31" s="52"/>
      <c r="D31" s="53"/>
      <c r="E31" s="53"/>
      <c r="F31" s="53"/>
      <c r="G31" s="53"/>
      <c r="H31" s="53"/>
      <c r="I31" s="54"/>
      <c r="J31" s="46"/>
      <c r="K31" s="55"/>
      <c r="L31" s="46"/>
      <c r="N31" s="50"/>
      <c r="O31" s="50"/>
    </row>
    <row r="32" ht="15.75" customHeight="1">
      <c r="B32" s="41" t="s">
        <v>11</v>
      </c>
      <c r="C32" s="52"/>
      <c r="D32" s="53"/>
      <c r="E32" s="53"/>
      <c r="F32" s="53"/>
      <c r="G32" s="53"/>
      <c r="H32" s="53"/>
      <c r="I32" s="54"/>
      <c r="J32" s="46" t="str">
        <f t="shared" ref="J32:J34" si="8">if(sum(C32:I32) =0,"-",sum(C32:I32))</f>
        <v>-</v>
      </c>
      <c r="K32" s="55">
        <f>($N$5/DAY(DATE(YEAR(TODAY()),MONTH(TODAY())+1,0)))*(7-COUNTBLANK(C25:I25))</f>
        <v>0</v>
      </c>
      <c r="L32" s="46" t="str">
        <f t="shared" ref="L32:L35" si="9">iferror(J32-K32,"-")</f>
        <v>-</v>
      </c>
    </row>
    <row r="33" ht="15.75" customHeight="1">
      <c r="B33" s="56" t="s">
        <v>12</v>
      </c>
      <c r="C33" s="52"/>
      <c r="D33" s="53"/>
      <c r="E33" s="53"/>
      <c r="F33" s="53"/>
      <c r="G33" s="53"/>
      <c r="H33" s="53"/>
      <c r="I33" s="54"/>
      <c r="J33" s="46" t="str">
        <f t="shared" si="8"/>
        <v>-</v>
      </c>
      <c r="K33" s="55">
        <f>($P$5/DAY(DATE(YEAR(TODAY()),MONTH(TODAY())+1,0)))*(7-COUNTBLANK(C25:I25))</f>
        <v>0</v>
      </c>
      <c r="L33" s="46" t="str">
        <f t="shared" si="9"/>
        <v>-</v>
      </c>
      <c r="M33" s="79"/>
      <c r="N33" s="79"/>
      <c r="O33" s="79"/>
      <c r="P33" s="79"/>
      <c r="Q33" s="79"/>
      <c r="R33" s="79"/>
      <c r="S33" s="79"/>
      <c r="T33" s="79"/>
      <c r="U33" s="79"/>
      <c r="V33" s="79"/>
    </row>
    <row r="34" ht="18.75" customHeight="1">
      <c r="B34" s="56" t="s">
        <v>13</v>
      </c>
      <c r="C34" s="52"/>
      <c r="D34" s="53"/>
      <c r="E34" s="53"/>
      <c r="F34" s="53"/>
      <c r="G34" s="53"/>
      <c r="H34" s="53"/>
      <c r="I34" s="54"/>
      <c r="J34" s="46" t="str">
        <f t="shared" si="8"/>
        <v>-</v>
      </c>
      <c r="K34" s="55">
        <f>($R$5/DAY(DATE(YEAR(TODAY()),MONTH(TODAY())+1,0)))*(7-COUNTBLANK(C25:I25))</f>
        <v>0</v>
      </c>
      <c r="L34" s="46" t="str">
        <f t="shared" si="9"/>
        <v>-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</row>
    <row r="35" ht="18.75" customHeight="1">
      <c r="B35" s="61" t="s">
        <v>14</v>
      </c>
      <c r="C35" s="86"/>
      <c r="D35" s="63"/>
      <c r="E35" s="63"/>
      <c r="F35" s="63"/>
      <c r="G35" s="63"/>
      <c r="H35" s="63"/>
      <c r="I35" s="83"/>
      <c r="J35" s="66">
        <f>sum(C35:I35)</f>
        <v>0</v>
      </c>
      <c r="K35" s="67">
        <f>sum(K27:K34)</f>
        <v>0</v>
      </c>
      <c r="L35" s="67">
        <f t="shared" si="9"/>
        <v>0</v>
      </c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 ht="18.75" customHeight="1">
      <c r="B36" s="68" t="s">
        <v>15</v>
      </c>
      <c r="C36" s="69"/>
      <c r="D36" s="70"/>
      <c r="E36" s="70"/>
      <c r="F36" s="70"/>
      <c r="G36" s="70"/>
      <c r="H36" s="70"/>
      <c r="I36" s="71"/>
      <c r="J36" s="72">
        <f t="shared" ref="J36:K36" si="10">iferror(J26/J35,0)</f>
        <v>0</v>
      </c>
      <c r="K36" s="73">
        <f t="shared" si="10"/>
        <v>0</v>
      </c>
      <c r="L36" s="73">
        <f t="shared" ref="L36:L37" si="11">iferror(J36-K36,0)</f>
        <v>0</v>
      </c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 ht="18.75" customHeight="1">
      <c r="B37" s="74" t="s">
        <v>33</v>
      </c>
      <c r="C37" s="75"/>
      <c r="D37" s="76"/>
      <c r="E37" s="76"/>
      <c r="F37" s="76"/>
      <c r="G37" s="76"/>
      <c r="H37" s="76"/>
      <c r="I37" s="77"/>
      <c r="J37" s="78"/>
      <c r="K37" s="78"/>
      <c r="L37" s="78">
        <f t="shared" si="11"/>
        <v>0</v>
      </c>
      <c r="M37" s="79"/>
      <c r="N37" s="79"/>
      <c r="O37" s="79"/>
      <c r="P37" s="79"/>
      <c r="Q37" s="79"/>
      <c r="R37" s="79"/>
      <c r="S37" s="79"/>
      <c r="T37" s="79"/>
      <c r="U37" s="79"/>
      <c r="V37" s="79"/>
    </row>
    <row r="38" ht="18.75" customHeight="1">
      <c r="B38" s="21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</row>
    <row r="39" ht="18.75" customHeight="1">
      <c r="B39" s="21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0" ht="15.75" customHeight="1">
      <c r="B40" s="21" t="s">
        <v>35</v>
      </c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</row>
    <row r="41" ht="15.75" customHeight="1">
      <c r="B41" s="22" t="s">
        <v>19</v>
      </c>
      <c r="C41" s="111"/>
      <c r="D41" s="84"/>
      <c r="E41" s="84"/>
      <c r="F41" s="84"/>
      <c r="G41" s="84"/>
      <c r="H41" s="84"/>
      <c r="I41" s="84"/>
      <c r="J41" s="25" t="s">
        <v>20</v>
      </c>
      <c r="K41" s="25" t="s">
        <v>21</v>
      </c>
      <c r="L41" s="25" t="s">
        <v>17</v>
      </c>
    </row>
    <row r="42" ht="15.75" customHeight="1">
      <c r="B42" s="31" t="s">
        <v>6</v>
      </c>
      <c r="C42" s="89"/>
      <c r="D42" s="33"/>
      <c r="E42" s="33"/>
      <c r="F42" s="33"/>
      <c r="G42" s="33"/>
      <c r="H42" s="33"/>
      <c r="I42" s="85"/>
      <c r="J42" s="36">
        <f>sum(C42:I42)</f>
        <v>0</v>
      </c>
      <c r="K42" s="37">
        <f>($D$5/DAY(DATE(YEAR(TODAY()),MONTH(TODAY())+1,0)))*(7-COUNTBLANK(C41:I41))</f>
        <v>0</v>
      </c>
      <c r="L42" s="37">
        <f>iferror(J42-K42,0)</f>
        <v>0</v>
      </c>
    </row>
    <row r="43" ht="15.75" customHeight="1">
      <c r="B43" s="41" t="s">
        <v>7</v>
      </c>
      <c r="C43" s="48"/>
      <c r="D43" s="43"/>
      <c r="E43" s="43"/>
      <c r="F43" s="43"/>
      <c r="G43" s="43"/>
      <c r="H43" s="43"/>
      <c r="I43" s="45"/>
      <c r="J43" s="46" t="str">
        <f t="shared" ref="J43:J49" si="12">if(sum(C43:I43) =0,"-",sum(C43:I43))</f>
        <v>-</v>
      </c>
      <c r="K43" s="46">
        <f>($F$5/DAY(DATE(YEAR(TODAY()),MONTH(TODAY())+1,0)))*(7-COUNTBLANK(C41:I41))</f>
        <v>0</v>
      </c>
      <c r="L43" s="46" t="str">
        <f t="shared" ref="L43:L50" si="13">iferror(J43-K43,"-")</f>
        <v>-</v>
      </c>
    </row>
    <row r="44" ht="15.75" customHeight="1">
      <c r="B44" s="41" t="s">
        <v>8</v>
      </c>
      <c r="C44" s="48"/>
      <c r="D44" s="43"/>
      <c r="E44" s="43"/>
      <c r="F44" s="43"/>
      <c r="G44" s="43"/>
      <c r="H44" s="43"/>
      <c r="I44" s="45"/>
      <c r="J44" s="46" t="str">
        <f t="shared" si="12"/>
        <v>-</v>
      </c>
      <c r="K44" s="46">
        <f>($H$5/DAY(DATE(YEAR(TODAY()),MONTH(TODAY())+1,0)))*(7-COUNTBLANK(C41:I41))</f>
        <v>0</v>
      </c>
      <c r="L44" s="46" t="str">
        <f t="shared" si="13"/>
        <v>-</v>
      </c>
    </row>
    <row r="45" ht="15.75" customHeight="1">
      <c r="B45" s="51" t="s">
        <v>9</v>
      </c>
      <c r="C45" s="52"/>
      <c r="D45" s="53"/>
      <c r="E45" s="53"/>
      <c r="F45" s="53"/>
      <c r="G45" s="53"/>
      <c r="H45" s="53"/>
      <c r="I45" s="54"/>
      <c r="J45" s="46" t="str">
        <f t="shared" si="12"/>
        <v>-</v>
      </c>
      <c r="K45" s="55">
        <f>($J$5/DAY(DATE(YEAR(TODAY()),MONTH(TODAY())+1,0)))*(7-COUNTBLANK(C41:I41))</f>
        <v>0</v>
      </c>
      <c r="L45" s="46" t="str">
        <f t="shared" si="13"/>
        <v>-</v>
      </c>
    </row>
    <row r="46" ht="15.75" customHeight="1">
      <c r="B46" s="51" t="s">
        <v>10</v>
      </c>
      <c r="C46" s="52"/>
      <c r="D46" s="53"/>
      <c r="E46" s="53"/>
      <c r="F46" s="53"/>
      <c r="G46" s="53"/>
      <c r="H46" s="53"/>
      <c r="I46" s="54"/>
      <c r="J46" s="46" t="str">
        <f t="shared" si="12"/>
        <v>-</v>
      </c>
      <c r="K46" s="55">
        <f>($L$5/DAY(DATE(YEAR(TODAY()),MONTH(TODAY())+1,0)))*(7-COUNTBLANK(C41:I41))</f>
        <v>0</v>
      </c>
      <c r="L46" s="46" t="str">
        <f t="shared" si="13"/>
        <v>-</v>
      </c>
    </row>
    <row r="47" ht="15.75" customHeight="1">
      <c r="B47" s="41" t="s">
        <v>11</v>
      </c>
      <c r="C47" s="52"/>
      <c r="D47" s="53"/>
      <c r="E47" s="53"/>
      <c r="F47" s="53"/>
      <c r="G47" s="53"/>
      <c r="H47" s="53"/>
      <c r="I47" s="54"/>
      <c r="J47" s="46" t="str">
        <f t="shared" si="12"/>
        <v>-</v>
      </c>
      <c r="K47" s="55">
        <f>($N$5/DAY(DATE(YEAR(TODAY()),MONTH(TODAY())+1,0)))*(7-COUNTBLANK(C41:I41))</f>
        <v>0</v>
      </c>
      <c r="L47" s="46" t="str">
        <f t="shared" si="13"/>
        <v>-</v>
      </c>
    </row>
    <row r="48" ht="15.75" customHeight="1">
      <c r="B48" s="56" t="s">
        <v>12</v>
      </c>
      <c r="C48" s="52"/>
      <c r="D48" s="53"/>
      <c r="E48" s="53"/>
      <c r="F48" s="53"/>
      <c r="G48" s="53"/>
      <c r="H48" s="53"/>
      <c r="I48" s="54"/>
      <c r="J48" s="46" t="str">
        <f t="shared" si="12"/>
        <v>-</v>
      </c>
      <c r="K48" s="55">
        <f>($P$5/DAY(DATE(YEAR(TODAY()),MONTH(TODAY())+1,0)))*(7-COUNTBLANK(C41:I41))</f>
        <v>0</v>
      </c>
      <c r="L48" s="46" t="str">
        <f t="shared" si="13"/>
        <v>-</v>
      </c>
    </row>
    <row r="49" ht="15.75" customHeight="1">
      <c r="B49" s="56" t="s">
        <v>13</v>
      </c>
      <c r="C49" s="52"/>
      <c r="D49" s="53"/>
      <c r="E49" s="53"/>
      <c r="F49" s="53"/>
      <c r="G49" s="53"/>
      <c r="H49" s="53"/>
      <c r="I49" s="54"/>
      <c r="J49" s="46" t="str">
        <f t="shared" si="12"/>
        <v>-</v>
      </c>
      <c r="K49" s="55">
        <f>($R$5/DAY(DATE(YEAR(TODAY()),MONTH(TODAY())+1,0)))*(7-COUNTBLANK(C41:I41))</f>
        <v>0</v>
      </c>
      <c r="L49" s="46" t="str">
        <f t="shared" si="13"/>
        <v>-</v>
      </c>
    </row>
    <row r="50" ht="15.75" customHeight="1">
      <c r="B50" s="61" t="s">
        <v>14</v>
      </c>
      <c r="C50" s="86"/>
      <c r="D50" s="63"/>
      <c r="E50" s="63"/>
      <c r="F50" s="63"/>
      <c r="G50" s="63"/>
      <c r="H50" s="63"/>
      <c r="I50" s="83"/>
      <c r="J50" s="66">
        <f>sum(C50:I50)</f>
        <v>0</v>
      </c>
      <c r="K50" s="67">
        <f>sum(K43:K49)</f>
        <v>0</v>
      </c>
      <c r="L50" s="67">
        <f t="shared" si="13"/>
        <v>0</v>
      </c>
    </row>
    <row r="51" ht="15.75" customHeight="1">
      <c r="B51" s="68" t="s">
        <v>15</v>
      </c>
      <c r="C51" s="69"/>
      <c r="D51" s="70"/>
      <c r="E51" s="70"/>
      <c r="F51" s="70"/>
      <c r="G51" s="70"/>
      <c r="H51" s="70"/>
      <c r="I51" s="71"/>
      <c r="J51" s="72">
        <f t="shared" ref="J51:K51" si="14">iferror(J42/J50,0)</f>
        <v>0</v>
      </c>
      <c r="K51" s="73">
        <f t="shared" si="14"/>
        <v>0</v>
      </c>
      <c r="L51" s="73">
        <f t="shared" ref="L51:L52" si="15">iferror(J51-K51,0)</f>
        <v>0</v>
      </c>
    </row>
    <row r="52" ht="15.75" customHeight="1">
      <c r="B52" s="74" t="s">
        <v>33</v>
      </c>
      <c r="C52" s="75"/>
      <c r="D52" s="76"/>
      <c r="E52" s="76"/>
      <c r="F52" s="76"/>
      <c r="G52" s="76"/>
      <c r="H52" s="76"/>
      <c r="I52" s="77"/>
      <c r="J52" s="78"/>
      <c r="K52" s="78"/>
      <c r="L52" s="78">
        <f t="shared" si="15"/>
        <v>0</v>
      </c>
    </row>
    <row r="53" ht="15.75" customHeight="1"/>
    <row r="54" ht="15.75" customHeight="1"/>
    <row r="55" ht="15.75" customHeight="1">
      <c r="B55" s="21" t="s">
        <v>36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</row>
    <row r="56" ht="15.75" customHeight="1">
      <c r="B56" s="22" t="s">
        <v>19</v>
      </c>
      <c r="C56" s="111"/>
      <c r="D56" s="84"/>
      <c r="E56" s="84"/>
      <c r="F56" s="84"/>
      <c r="G56" s="84"/>
      <c r="H56" s="84"/>
      <c r="I56" s="84"/>
      <c r="J56" s="25" t="s">
        <v>20</v>
      </c>
      <c r="K56" s="25" t="s">
        <v>21</v>
      </c>
      <c r="L56" s="25" t="s">
        <v>17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</row>
    <row r="57" ht="15.75" customHeight="1">
      <c r="B57" s="31" t="s">
        <v>6</v>
      </c>
      <c r="C57" s="89"/>
      <c r="D57" s="33"/>
      <c r="E57" s="33"/>
      <c r="F57" s="33"/>
      <c r="G57" s="33"/>
      <c r="H57" s="33"/>
      <c r="I57" s="85"/>
      <c r="J57" s="36">
        <f>sum(C57:I57)</f>
        <v>0</v>
      </c>
      <c r="K57" s="37">
        <f>($D$5/DAY(DATE(YEAR(TODAY()),MONTH(TODAY())+1,0)))*(7-COUNTBLANK(C56:I56))</f>
        <v>0</v>
      </c>
      <c r="L57" s="37">
        <f>iferror(J57-K57,0)</f>
        <v>0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</row>
    <row r="58" ht="15.75" customHeight="1">
      <c r="B58" s="41" t="s">
        <v>7</v>
      </c>
      <c r="C58" s="48"/>
      <c r="D58" s="43"/>
      <c r="E58" s="43"/>
      <c r="F58" s="43"/>
      <c r="G58" s="43"/>
      <c r="H58" s="43"/>
      <c r="I58" s="45"/>
      <c r="J58" s="46" t="str">
        <f t="shared" ref="J58:J64" si="16">if(sum(C58:I58) =0,"-",sum(C58:I58))</f>
        <v>-</v>
      </c>
      <c r="K58" s="46">
        <f>($F$5/DAY(DATE(YEAR(TODAY()),MONTH(TODAY())+1,0)))*(7-COUNTBLANK(C56:I56))</f>
        <v>0</v>
      </c>
      <c r="L58" s="46" t="str">
        <f t="shared" ref="L58:L65" si="17">iferror(J58-K58,"-")</f>
        <v>-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</row>
    <row r="59" ht="15.75" customHeight="1">
      <c r="B59" s="41" t="s">
        <v>8</v>
      </c>
      <c r="C59" s="48"/>
      <c r="D59" s="43"/>
      <c r="E59" s="43"/>
      <c r="F59" s="43"/>
      <c r="G59" s="43"/>
      <c r="H59" s="43"/>
      <c r="I59" s="45"/>
      <c r="J59" s="46" t="str">
        <f t="shared" si="16"/>
        <v>-</v>
      </c>
      <c r="K59" s="46">
        <f>($H$5/DAY(DATE(YEAR(TODAY()),MONTH(TODAY())+1,0)))*(7-COUNTBLANK(C56:I56))</f>
        <v>0</v>
      </c>
      <c r="L59" s="46" t="str">
        <f t="shared" si="17"/>
        <v>-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</row>
    <row r="60" ht="15.75" customHeight="1">
      <c r="B60" s="51" t="s">
        <v>9</v>
      </c>
      <c r="C60" s="52"/>
      <c r="D60" s="53"/>
      <c r="E60" s="53"/>
      <c r="F60" s="53"/>
      <c r="G60" s="53"/>
      <c r="H60" s="53"/>
      <c r="I60" s="54"/>
      <c r="J60" s="46" t="str">
        <f t="shared" si="16"/>
        <v>-</v>
      </c>
      <c r="K60" s="55">
        <f>($J$5/DAY(DATE(YEAR(TODAY()),MONTH(TODAY())+1,0)))*(7-COUNTBLANK(C56:I56))</f>
        <v>0</v>
      </c>
      <c r="L60" s="46" t="str">
        <f t="shared" si="17"/>
        <v>-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</row>
    <row r="61" ht="15.75" customHeight="1">
      <c r="B61" s="51" t="s">
        <v>10</v>
      </c>
      <c r="C61" s="52"/>
      <c r="D61" s="53"/>
      <c r="E61" s="53"/>
      <c r="F61" s="53"/>
      <c r="G61" s="53"/>
      <c r="H61" s="53"/>
      <c r="I61" s="54"/>
      <c r="J61" s="46" t="str">
        <f t="shared" si="16"/>
        <v>-</v>
      </c>
      <c r="K61" s="55">
        <f>($L$5/DAY(DATE(YEAR(TODAY()),MONTH(TODAY())+1,0)))*(7-COUNTBLANK(C56:I56))</f>
        <v>0</v>
      </c>
      <c r="L61" s="46" t="str">
        <f t="shared" si="17"/>
        <v>-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</row>
    <row r="62" ht="15.75" customHeight="1">
      <c r="B62" s="41" t="s">
        <v>11</v>
      </c>
      <c r="C62" s="52"/>
      <c r="D62" s="53"/>
      <c r="E62" s="53"/>
      <c r="F62" s="53"/>
      <c r="G62" s="53"/>
      <c r="H62" s="53"/>
      <c r="I62" s="54"/>
      <c r="J62" s="46" t="str">
        <f t="shared" si="16"/>
        <v>-</v>
      </c>
      <c r="K62" s="55">
        <f>($N$5/DAY(DATE(YEAR(TODAY()),MONTH(TODAY())+1,0)))*(7-COUNTBLANK(C56:I56))</f>
        <v>0</v>
      </c>
      <c r="L62" s="46" t="str">
        <f t="shared" si="17"/>
        <v>-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</row>
    <row r="63" ht="15.75" customHeight="1">
      <c r="B63" s="56" t="s">
        <v>12</v>
      </c>
      <c r="C63" s="52"/>
      <c r="D63" s="53"/>
      <c r="E63" s="53"/>
      <c r="F63" s="53"/>
      <c r="G63" s="53"/>
      <c r="H63" s="53"/>
      <c r="I63" s="54"/>
      <c r="J63" s="46" t="str">
        <f t="shared" si="16"/>
        <v>-</v>
      </c>
      <c r="K63" s="55">
        <f>($P$5/DAY(DATE(YEAR(TODAY()),MONTH(TODAY())+1,0)))*(7-COUNTBLANK(C56:I56))</f>
        <v>0</v>
      </c>
      <c r="L63" s="46" t="str">
        <f t="shared" si="17"/>
        <v>-</v>
      </c>
      <c r="M63" s="79"/>
      <c r="N63" s="79"/>
      <c r="O63" s="79"/>
      <c r="P63" s="79"/>
      <c r="Q63" s="79"/>
      <c r="R63" s="79"/>
      <c r="S63" s="79"/>
      <c r="T63" s="79"/>
      <c r="U63" s="79"/>
      <c r="V63" s="79"/>
    </row>
    <row r="64" ht="15.75" customHeight="1">
      <c r="B64" s="56" t="s">
        <v>13</v>
      </c>
      <c r="C64" s="52"/>
      <c r="D64" s="53"/>
      <c r="E64" s="53"/>
      <c r="F64" s="53"/>
      <c r="G64" s="53"/>
      <c r="H64" s="53"/>
      <c r="I64" s="54"/>
      <c r="J64" s="46" t="str">
        <f t="shared" si="16"/>
        <v>-</v>
      </c>
      <c r="K64" s="55">
        <f>($R$5/DAY(DATE(YEAR(TODAY()),MONTH(TODAY())+1,0)))*(7-COUNTBLANK(C56:I56))</f>
        <v>0</v>
      </c>
      <c r="L64" s="46" t="str">
        <f t="shared" si="17"/>
        <v>-</v>
      </c>
      <c r="M64" s="79"/>
      <c r="N64" s="79"/>
      <c r="O64" s="79"/>
      <c r="P64" s="79"/>
      <c r="Q64" s="79"/>
      <c r="R64" s="79"/>
      <c r="S64" s="79"/>
      <c r="T64" s="79"/>
      <c r="U64" s="79"/>
      <c r="V64" s="79"/>
    </row>
    <row r="65" ht="15.75" customHeight="1">
      <c r="B65" s="61" t="s">
        <v>14</v>
      </c>
      <c r="C65" s="86"/>
      <c r="D65" s="63"/>
      <c r="E65" s="63"/>
      <c r="F65" s="63"/>
      <c r="G65" s="63"/>
      <c r="H65" s="63"/>
      <c r="I65" s="83"/>
      <c r="J65" s="66">
        <f>sum(C65:I65)</f>
        <v>0</v>
      </c>
      <c r="K65" s="67">
        <f>sum(K58:K64)</f>
        <v>0</v>
      </c>
      <c r="L65" s="67">
        <f t="shared" si="17"/>
        <v>0</v>
      </c>
      <c r="M65" s="79"/>
      <c r="N65" s="79"/>
      <c r="O65" s="79"/>
      <c r="P65" s="79"/>
      <c r="Q65" s="79"/>
      <c r="R65" s="79"/>
      <c r="S65" s="79"/>
      <c r="T65" s="79"/>
      <c r="U65" s="79"/>
      <c r="V65" s="79"/>
    </row>
    <row r="66" ht="15.75" customHeight="1">
      <c r="B66" s="68" t="s">
        <v>15</v>
      </c>
      <c r="C66" s="69"/>
      <c r="D66" s="70"/>
      <c r="E66" s="70"/>
      <c r="F66" s="70"/>
      <c r="G66" s="70"/>
      <c r="H66" s="70"/>
      <c r="I66" s="71"/>
      <c r="J66" s="72">
        <f t="shared" ref="J66:K66" si="18">iferror(J57/J65,0)</f>
        <v>0</v>
      </c>
      <c r="K66" s="73">
        <f t="shared" si="18"/>
        <v>0</v>
      </c>
      <c r="L66" s="73">
        <f t="shared" ref="L66:L67" si="19">iferror(J66-K66,0)</f>
        <v>0</v>
      </c>
      <c r="M66" s="79"/>
      <c r="N66" s="79"/>
      <c r="O66" s="79"/>
      <c r="P66" s="79"/>
      <c r="Q66" s="79"/>
      <c r="R66" s="79"/>
      <c r="S66" s="79"/>
      <c r="T66" s="79"/>
      <c r="U66" s="79"/>
      <c r="V66" s="79"/>
    </row>
    <row r="67" ht="15.75" customHeight="1">
      <c r="B67" s="74" t="s">
        <v>33</v>
      </c>
      <c r="C67" s="75"/>
      <c r="D67" s="76"/>
      <c r="E67" s="76"/>
      <c r="F67" s="76"/>
      <c r="G67" s="76"/>
      <c r="H67" s="76"/>
      <c r="I67" s="77"/>
      <c r="J67" s="78"/>
      <c r="K67" s="78"/>
      <c r="L67" s="78">
        <f t="shared" si="19"/>
        <v>0</v>
      </c>
      <c r="M67" s="79"/>
      <c r="N67" s="79"/>
      <c r="O67" s="79"/>
      <c r="P67" s="79"/>
      <c r="Q67" s="79"/>
      <c r="R67" s="79"/>
      <c r="S67" s="79"/>
      <c r="T67" s="79"/>
      <c r="U67" s="79"/>
      <c r="V67" s="79"/>
    </row>
    <row r="68" ht="15.75" customHeight="1">
      <c r="B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</row>
    <row r="69" ht="15.75" customHeight="1">
      <c r="B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</row>
    <row r="70" ht="15.75" customHeight="1">
      <c r="B70" s="21" t="s">
        <v>37</v>
      </c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</row>
    <row r="71" ht="15.75" customHeight="1">
      <c r="B71" s="22" t="s">
        <v>19</v>
      </c>
      <c r="C71" s="111"/>
      <c r="D71" s="84"/>
      <c r="E71" s="84"/>
      <c r="F71" s="84"/>
      <c r="G71" s="84"/>
      <c r="H71" s="84"/>
      <c r="I71" s="84"/>
      <c r="J71" s="25" t="s">
        <v>20</v>
      </c>
      <c r="K71" s="25" t="s">
        <v>21</v>
      </c>
      <c r="L71" s="25" t="s">
        <v>17</v>
      </c>
      <c r="M71" s="79"/>
      <c r="N71" s="79"/>
      <c r="O71" s="79"/>
      <c r="P71" s="79"/>
      <c r="Q71" s="79"/>
      <c r="R71" s="79"/>
      <c r="S71" s="79"/>
      <c r="T71" s="79"/>
      <c r="U71" s="79"/>
      <c r="V71" s="79"/>
    </row>
    <row r="72" ht="15.75" customHeight="1">
      <c r="B72" s="31" t="s">
        <v>6</v>
      </c>
      <c r="C72" s="89"/>
      <c r="D72" s="33"/>
      <c r="E72" s="33"/>
      <c r="F72" s="33"/>
      <c r="G72" s="33"/>
      <c r="H72" s="33"/>
      <c r="I72" s="85"/>
      <c r="J72" s="36">
        <f>sum(C72:I72)</f>
        <v>0</v>
      </c>
      <c r="K72" s="37">
        <f>($D$5/DAY(DATE(YEAR(TODAY()),MONTH(TODAY())+1,0)))*(7-COUNTBLANK(C71:I71))</f>
        <v>0</v>
      </c>
      <c r="L72" s="37">
        <f>iferror(J72-K72,0)</f>
        <v>0</v>
      </c>
      <c r="M72" s="79"/>
      <c r="N72" s="79"/>
      <c r="O72" s="79"/>
      <c r="P72" s="79"/>
      <c r="Q72" s="79"/>
      <c r="R72" s="79"/>
      <c r="S72" s="79"/>
      <c r="T72" s="79"/>
      <c r="U72" s="79"/>
      <c r="V72" s="79"/>
    </row>
    <row r="73" ht="15.75" customHeight="1">
      <c r="B73" s="41" t="s">
        <v>7</v>
      </c>
      <c r="C73" s="48"/>
      <c r="D73" s="43"/>
      <c r="E73" s="43"/>
      <c r="F73" s="43"/>
      <c r="G73" s="43"/>
      <c r="H73" s="43"/>
      <c r="I73" s="45"/>
      <c r="J73" s="46" t="str">
        <f t="shared" ref="J73:J79" si="20">if(sum(C73:I73) =0,"-",sum(C73:I73))</f>
        <v>-</v>
      </c>
      <c r="K73" s="46">
        <f>($F$5/DAY(DATE(YEAR(TODAY()),MONTH(TODAY())+1,0)))*(7-COUNTBLANK(C71:I71))</f>
        <v>0</v>
      </c>
      <c r="L73" s="46" t="str">
        <f t="shared" ref="L73:L80" si="21">iferror(J73-K73,"-")</f>
        <v>-</v>
      </c>
      <c r="M73" s="79"/>
      <c r="N73" s="79"/>
      <c r="O73" s="79"/>
      <c r="P73" s="79"/>
      <c r="Q73" s="79"/>
      <c r="R73" s="79"/>
      <c r="S73" s="79"/>
      <c r="T73" s="79"/>
      <c r="U73" s="79"/>
      <c r="V73" s="79"/>
    </row>
    <row r="74" ht="15.75" customHeight="1">
      <c r="B74" s="41" t="s">
        <v>8</v>
      </c>
      <c r="C74" s="48"/>
      <c r="D74" s="43"/>
      <c r="E74" s="43"/>
      <c r="F74" s="43"/>
      <c r="G74" s="43"/>
      <c r="H74" s="43"/>
      <c r="I74" s="45"/>
      <c r="J74" s="46" t="str">
        <f t="shared" si="20"/>
        <v>-</v>
      </c>
      <c r="K74" s="46">
        <f>($H$5/DAY(DATE(YEAR(TODAY()),MONTH(TODAY())+1,0)))*(7-COUNTBLANK(C71:I71))</f>
        <v>0</v>
      </c>
      <c r="L74" s="46" t="str">
        <f t="shared" si="21"/>
        <v>-</v>
      </c>
    </row>
    <row r="75" ht="15.75" customHeight="1">
      <c r="B75" s="51" t="s">
        <v>9</v>
      </c>
      <c r="C75" s="52"/>
      <c r="D75" s="53"/>
      <c r="E75" s="53"/>
      <c r="F75" s="53"/>
      <c r="G75" s="53"/>
      <c r="H75" s="53"/>
      <c r="I75" s="54"/>
      <c r="J75" s="46" t="str">
        <f t="shared" si="20"/>
        <v>-</v>
      </c>
      <c r="K75" s="55">
        <f>($J$5/DAY(DATE(YEAR(TODAY()),MONTH(TODAY())+1,0)))*(7-COUNTBLANK(C71:I71))</f>
        <v>0</v>
      </c>
      <c r="L75" s="46" t="str">
        <f t="shared" si="21"/>
        <v>-</v>
      </c>
    </row>
    <row r="76" ht="15.75" customHeight="1">
      <c r="B76" s="51" t="s">
        <v>10</v>
      </c>
      <c r="C76" s="52"/>
      <c r="D76" s="53"/>
      <c r="E76" s="53"/>
      <c r="F76" s="53"/>
      <c r="G76" s="53"/>
      <c r="H76" s="53"/>
      <c r="I76" s="54"/>
      <c r="J76" s="46" t="str">
        <f t="shared" si="20"/>
        <v>-</v>
      </c>
      <c r="K76" s="55">
        <f>($L$5/DAY(DATE(YEAR(TODAY()),MONTH(TODAY())+1,0)))*(7-COUNTBLANK(C71:I71))</f>
        <v>0</v>
      </c>
      <c r="L76" s="46" t="str">
        <f t="shared" si="21"/>
        <v>-</v>
      </c>
    </row>
    <row r="77" ht="15.75" customHeight="1">
      <c r="B77" s="41" t="s">
        <v>11</v>
      </c>
      <c r="C77" s="52"/>
      <c r="D77" s="53"/>
      <c r="E77" s="53"/>
      <c r="F77" s="53"/>
      <c r="G77" s="53"/>
      <c r="H77" s="53"/>
      <c r="I77" s="54"/>
      <c r="J77" s="46" t="str">
        <f t="shared" si="20"/>
        <v>-</v>
      </c>
      <c r="K77" s="55">
        <f>($N$5/DAY(DATE(YEAR(TODAY()),MONTH(TODAY())+1,0)))*(7-COUNTBLANK(C71:I71))</f>
        <v>0</v>
      </c>
      <c r="L77" s="46" t="str">
        <f t="shared" si="21"/>
        <v>-</v>
      </c>
    </row>
    <row r="78" ht="15.75" customHeight="1">
      <c r="B78" s="56" t="s">
        <v>12</v>
      </c>
      <c r="C78" s="52"/>
      <c r="D78" s="53"/>
      <c r="E78" s="53"/>
      <c r="F78" s="53"/>
      <c r="G78" s="53"/>
      <c r="H78" s="53"/>
      <c r="I78" s="54"/>
      <c r="J78" s="46" t="str">
        <f t="shared" si="20"/>
        <v>-</v>
      </c>
      <c r="K78" s="55">
        <f>($P$5/DAY(DATE(YEAR(TODAY()),MONTH(TODAY())+1,0)))*(7-COUNTBLANK(C71:I71))</f>
        <v>0</v>
      </c>
      <c r="L78" s="46" t="str">
        <f t="shared" si="21"/>
        <v>-</v>
      </c>
    </row>
    <row r="79" ht="15.75" customHeight="1">
      <c r="B79" s="56" t="s">
        <v>13</v>
      </c>
      <c r="C79" s="52"/>
      <c r="D79" s="53"/>
      <c r="E79" s="53"/>
      <c r="F79" s="53"/>
      <c r="G79" s="53"/>
      <c r="H79" s="53"/>
      <c r="I79" s="54"/>
      <c r="J79" s="46" t="str">
        <f t="shared" si="20"/>
        <v>-</v>
      </c>
      <c r="K79" s="55">
        <f>($R$5/DAY(DATE(YEAR(TODAY()),MONTH(TODAY())+1,0)))*(7-COUNTBLANK(C71:I71))</f>
        <v>0</v>
      </c>
      <c r="L79" s="46" t="str">
        <f t="shared" si="21"/>
        <v>-</v>
      </c>
    </row>
    <row r="80" ht="15.75" customHeight="1">
      <c r="B80" s="61" t="s">
        <v>14</v>
      </c>
      <c r="C80" s="86">
        <f t="shared" ref="C80:I80" si="22">sum(C73:C79)</f>
        <v>0</v>
      </c>
      <c r="D80" s="63">
        <f t="shared" si="22"/>
        <v>0</v>
      </c>
      <c r="E80" s="63">
        <f t="shared" si="22"/>
        <v>0</v>
      </c>
      <c r="F80" s="63">
        <f t="shared" si="22"/>
        <v>0</v>
      </c>
      <c r="G80" s="63">
        <f t="shared" si="22"/>
        <v>0</v>
      </c>
      <c r="H80" s="63">
        <f t="shared" si="22"/>
        <v>0</v>
      </c>
      <c r="I80" s="83">
        <f t="shared" si="22"/>
        <v>0</v>
      </c>
      <c r="J80" s="66">
        <f>sum(C80:I80)</f>
        <v>0</v>
      </c>
      <c r="K80" s="67">
        <f>sum(K73:K79)</f>
        <v>0</v>
      </c>
      <c r="L80" s="67">
        <f t="shared" si="21"/>
        <v>0</v>
      </c>
    </row>
    <row r="81" ht="15.75" customHeight="1">
      <c r="B81" s="68" t="s">
        <v>15</v>
      </c>
      <c r="C81" s="69">
        <f t="shared" ref="C81:K81" si="23">iferror(C72/C80,0)</f>
        <v>0</v>
      </c>
      <c r="D81" s="70">
        <f t="shared" si="23"/>
        <v>0</v>
      </c>
      <c r="E81" s="70">
        <f t="shared" si="23"/>
        <v>0</v>
      </c>
      <c r="F81" s="70">
        <f t="shared" si="23"/>
        <v>0</v>
      </c>
      <c r="G81" s="70">
        <f t="shared" si="23"/>
        <v>0</v>
      </c>
      <c r="H81" s="70">
        <f t="shared" si="23"/>
        <v>0</v>
      </c>
      <c r="I81" s="71">
        <f t="shared" si="23"/>
        <v>0</v>
      </c>
      <c r="J81" s="72">
        <f t="shared" si="23"/>
        <v>0</v>
      </c>
      <c r="K81" s="73">
        <f t="shared" si="23"/>
        <v>0</v>
      </c>
      <c r="L81" s="73">
        <f t="shared" ref="L81:L82" si="24">iferror(J81-K81,0)</f>
        <v>0</v>
      </c>
    </row>
    <row r="82" ht="15.75" customHeight="1">
      <c r="B82" s="74" t="s">
        <v>33</v>
      </c>
      <c r="C82" s="75"/>
      <c r="D82" s="76"/>
      <c r="E82" s="76"/>
      <c r="F82" s="76"/>
      <c r="G82" s="76"/>
      <c r="H82" s="76"/>
      <c r="I82" s="77"/>
      <c r="J82" s="78"/>
      <c r="K82" s="78"/>
      <c r="L82" s="78">
        <f t="shared" si="24"/>
        <v>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V2"/>
    <mergeCell ref="E4:G4"/>
    <mergeCell ref="J4:L4"/>
    <mergeCell ref="U4:V4"/>
  </mergeCells>
  <conditionalFormatting sqref="L11:L21 L26:L37 L42:L52 L57:L67 L72:L82">
    <cfRule type="cellIs" dxfId="0" priority="1" operator="greaterThan">
      <formula>0</formula>
    </cfRule>
  </conditionalFormatting>
  <conditionalFormatting sqref="L11:L21 L26:L37 L42:L52 L57:L67 L72:L82">
    <cfRule type="cellIs" dxfId="1" priority="2" operator="lessThan">
      <formula>0</formula>
    </cfRule>
  </conditionalFormatting>
  <conditionalFormatting sqref="D7 F7 H7 J7 L7 N7 P7 R7 T7 V7">
    <cfRule type="cellIs" dxfId="1" priority="3" operator="lessThan">
      <formula>0</formula>
    </cfRule>
  </conditionalFormatting>
  <drawing r:id="rId1"/>
</worksheet>
</file>